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004 (293400)\Downloads\"/>
    </mc:Choice>
  </mc:AlternateContent>
  <xr:revisionPtr revIDLastSave="0" documentId="13_ncr:1_{617A07E8-DCA1-483A-AF73-59944696FE67}" xr6:coauthVersionLast="47" xr6:coauthVersionMax="47" xr10:uidLastSave="{00000000-0000-0000-0000-000000000000}"/>
  <bookViews>
    <workbookView xWindow="-108" yWindow="-108" windowWidth="23256" windowHeight="12456" xr2:uid="{75893F9D-4C0F-4E6A-94BB-9E913E28F3C2}"/>
  </bookViews>
  <sheets>
    <sheet name="Dashboard Inf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3" i="1" l="1"/>
  <c r="X9" i="1"/>
  <c r="V9" i="1" l="1"/>
  <c r="U9" i="1" l="1"/>
  <c r="T33" i="1" l="1"/>
  <c r="T9" i="1"/>
  <c r="S33" i="1" l="1"/>
  <c r="S9" i="1"/>
  <c r="R33" i="1" l="1"/>
  <c r="R27" i="1"/>
  <c r="R20" i="1"/>
  <c r="R19" i="1"/>
  <c r="R13" i="1"/>
  <c r="R12" i="1"/>
  <c r="R9" i="1"/>
  <c r="Q33" i="1" l="1"/>
  <c r="Q27" i="1"/>
  <c r="Q22" i="1"/>
  <c r="Q20" i="1"/>
  <c r="Q19" i="1"/>
  <c r="Q13" i="1"/>
  <c r="Q12" i="1"/>
  <c r="Q9" i="1"/>
  <c r="N9" i="1" l="1"/>
  <c r="N18" i="1" l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M18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M14" i="1"/>
  <c r="M21" i="1"/>
  <c r="M9" i="1"/>
  <c r="L9" i="1" l="1"/>
</calcChain>
</file>

<file path=xl/sharedStrings.xml><?xml version="1.0" encoding="utf-8"?>
<sst xmlns="http://schemas.openxmlformats.org/spreadsheetml/2006/main" count="280" uniqueCount="51">
  <si>
    <t>Total Payments - Revenue (k)</t>
  </si>
  <si>
    <t>Total MRR (k)</t>
  </si>
  <si>
    <t>Total Activations (New)</t>
  </si>
  <si>
    <t>Total Signups</t>
  </si>
  <si>
    <t>Total Churn</t>
  </si>
  <si>
    <t>Total Active Subscriptions</t>
  </si>
  <si>
    <t>N/A</t>
  </si>
  <si>
    <t>ChargeBee</t>
  </si>
  <si>
    <t>Google</t>
  </si>
  <si>
    <t>Apple</t>
  </si>
  <si>
    <t>Stripe</t>
  </si>
  <si>
    <t>BASED ON</t>
  </si>
  <si>
    <t>Cashflow</t>
  </si>
  <si>
    <t>Status of Account</t>
  </si>
  <si>
    <t>Total Active Activations (New) - Family</t>
  </si>
  <si>
    <t>Total Active Activations (New) -Minor</t>
  </si>
  <si>
    <t>Total Churn - Family</t>
  </si>
  <si>
    <t>Total Churn - Minor</t>
  </si>
  <si>
    <t>Total Active Subscriptions - Family</t>
  </si>
  <si>
    <t>Total Active Subscriptions - Minor</t>
  </si>
  <si>
    <t>MRR</t>
  </si>
  <si>
    <t>Column2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</si>
  <si>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</si>
  <si>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</si>
  <si>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</si>
  <si>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</si>
  <si>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</si>
  <si>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</si>
  <si>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</si>
  <si>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</si>
  <si>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Sept-24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</si>
  <si>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</si>
  <si>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</si>
  <si>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</si>
  <si>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</si>
  <si>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</si>
  <si>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</si>
  <si>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</si>
  <si>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</si>
  <si>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</si>
  <si>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</si>
  <si>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</si>
  <si>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Sept-25</t>
  </si>
  <si>
    <t>Oct-25</t>
  </si>
  <si>
    <t>Nov-25</t>
  </si>
  <si>
    <t>Dec-25</t>
  </si>
  <si>
    <t>Jan-26</t>
  </si>
  <si>
    <t>Feb-26</t>
  </si>
  <si>
    <t>Gateway</t>
  </si>
  <si>
    <t>Mar-26</t>
  </si>
  <si>
    <t>Numbers in pink are FICTICIOUS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</si>
</sst>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6"/>
      <color rgb="FF3333FF"/>
      <name val="Calibri"/>
      <family val="2"/>
      <scheme val="minor"/>
    </font>
    <font>
      <sz val="11.5"/>
      <color rgb="FFFF00FF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2"/>
      <color rgb="FFFF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BE9FF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rgb="FFE8A7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10" fontId="5" fillId="2" borderId="0" xfId="0" applyNumberFormat="1" applyFont="1" applyFill="1"/>
    <xf numFmtId="0" fontId="5" fillId="3" borderId="0" xfId="0" applyFont="1" applyFill="1"/>
    <xf numFmtId="1" fontId="5" fillId="3" borderId="0" xfId="1" applyNumberFormat="1" applyFont="1" applyFill="1" applyAlignment="1">
      <alignment horizontal="right"/>
    </xf>
    <xf numFmtId="10" fontId="5" fillId="3" borderId="0" xfId="0" applyNumberFormat="1" applyFont="1" applyFill="1" applyAlignment="1">
      <alignment horizontal="right"/>
    </xf>
    <xf numFmtId="0" fontId="5" fillId="4" borderId="0" xfId="0" applyFont="1" applyFill="1"/>
    <xf numFmtId="1" fontId="5" fillId="4" borderId="0" xfId="1" applyNumberFormat="1" applyFont="1" applyFill="1" applyAlignment="1">
      <alignment horizontal="right"/>
    </xf>
    <xf numFmtId="10" fontId="5" fillId="4" borderId="0" xfId="0" applyNumberFormat="1" applyFont="1" applyFill="1" applyAlignment="1">
      <alignment horizontal="right"/>
    </xf>
    <xf numFmtId="0" fontId="5" fillId="5" borderId="0" xfId="0" applyFont="1" applyFill="1"/>
    <xf numFmtId="1" fontId="5" fillId="5" borderId="0" xfId="1" applyNumberFormat="1" applyFont="1" applyFill="1" applyAlignment="1">
      <alignment horizontal="right"/>
    </xf>
    <xf numFmtId="10" fontId="5" fillId="5" borderId="0" xfId="0" applyNumberFormat="1" applyFont="1" applyFill="1" applyAlignment="1">
      <alignment horizontal="right"/>
    </xf>
    <xf numFmtId="17" fontId="4" fillId="0" borderId="0" xfId="0" applyNumberFormat="1" applyFont="1"/>
    <xf numFmtId="2" fontId="5" fillId="3" borderId="0" xfId="0" applyNumberFormat="1" applyFont="1" applyFill="1"/>
    <xf numFmtId="1" fontId="5" fillId="2" borderId="0" xfId="0" applyNumberFormat="1" applyFont="1" applyFill="1"/>
    <xf numFmtId="1" fontId="5" fillId="2" borderId="0" xfId="0" applyNumberFormat="1" applyFont="1" applyFill="1" applyAlignment="1">
      <alignment horizontal="left" indent="5"/>
    </xf>
    <xf numFmtId="10" fontId="5" fillId="3" borderId="0" xfId="1" applyNumberFormat="1" applyFont="1" applyFill="1"/>
    <xf numFmtId="10" fontId="5" fillId="0" borderId="0" xfId="0" applyNumberFormat="1" applyFont="1"/>
    <xf numFmtId="10" fontId="5" fillId="3" borderId="0" xfId="1" applyNumberFormat="1" applyFont="1" applyFill="1" applyBorder="1"/>
    <xf numFmtId="0" fontId="5" fillId="3" borderId="0" xfId="0" applyFont="1" applyFill="1" applyAlignment="1">
      <alignment horizontal="right"/>
    </xf>
    <xf numFmtId="0" fontId="5" fillId="3" borderId="1" xfId="0" applyFont="1" applyFill="1" applyBorder="1" applyAlignment="1">
      <alignment horizontal="right"/>
    </xf>
    <xf numFmtId="1" fontId="5" fillId="4" borderId="0" xfId="0" applyNumberFormat="1" applyFont="1" applyFill="1"/>
    <xf numFmtId="1" fontId="5" fillId="5" borderId="0" xfId="0" applyNumberFormat="1" applyFont="1" applyFill="1"/>
    <xf numFmtId="0" fontId="5" fillId="2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0" fontId="5" fillId="2" borderId="0" xfId="0" applyNumberFormat="1" applyFont="1" applyFill="1" applyAlignment="1">
      <alignment horizontal="right"/>
    </xf>
    <xf numFmtId="1" fontId="5" fillId="2" borderId="0" xfId="0" applyNumberFormat="1" applyFont="1" applyFill="1" applyAlignment="1">
      <alignment horizontal="right"/>
    </xf>
    <xf numFmtId="10" fontId="5" fillId="3" borderId="0" xfId="1" applyNumberFormat="1" applyFont="1" applyFill="1" applyAlignment="1">
      <alignment horizontal="right"/>
    </xf>
    <xf numFmtId="10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1" fontId="5" fillId="4" borderId="0" xfId="0" applyNumberFormat="1" applyFont="1" applyFill="1" applyAlignment="1">
      <alignment horizontal="right"/>
    </xf>
    <xf numFmtId="1" fontId="5" fillId="5" borderId="0" xfId="0" applyNumberFormat="1" applyFont="1" applyFill="1" applyAlignment="1">
      <alignment horizontal="right"/>
    </xf>
    <xf numFmtId="0" fontId="6" fillId="2" borderId="0" xfId="0" applyFont="1" applyFill="1"/>
    <xf numFmtId="10" fontId="6" fillId="2" borderId="0" xfId="0" applyNumberFormat="1" applyFont="1" applyFill="1"/>
    <xf numFmtId="1" fontId="6" fillId="2" borderId="0" xfId="0" applyNumberFormat="1" applyFont="1" applyFill="1"/>
    <xf numFmtId="1" fontId="6" fillId="4" borderId="0" xfId="1" applyNumberFormat="1" applyFont="1" applyFill="1" applyAlignment="1">
      <alignment horizontal="right"/>
    </xf>
    <xf numFmtId="10" fontId="6" fillId="4" borderId="0" xfId="0" applyNumberFormat="1" applyFont="1" applyFill="1" applyAlignment="1">
      <alignment horizontal="right"/>
    </xf>
    <xf numFmtId="1" fontId="6" fillId="5" borderId="0" xfId="1" applyNumberFormat="1" applyFont="1" applyFill="1" applyAlignment="1">
      <alignment horizontal="right"/>
    </xf>
    <xf numFmtId="10" fontId="6" fillId="5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1" xfId="0" applyFont="1" applyFill="1" applyBorder="1" applyAlignment="1">
      <alignment horizontal="right"/>
    </xf>
    <xf numFmtId="1" fontId="6" fillId="4" borderId="0" xfId="0" applyNumberFormat="1" applyFont="1" applyFill="1" applyAlignment="1">
      <alignment horizontal="right"/>
    </xf>
    <xf numFmtId="1" fontId="6" fillId="5" borderId="0" xfId="0" applyNumberFormat="1" applyFont="1" applyFill="1" applyAlignment="1">
      <alignment horizontal="right"/>
    </xf>
    <xf numFmtId="0" fontId="7" fillId="0" borderId="0" xfId="0" applyFont="1"/>
    <xf numFmtId="0" fontId="8" fillId="3" borderId="0" xfId="0" applyFont="1" applyFill="1"/>
    <xf numFmtId="2" fontId="8" fillId="3" borderId="0" xfId="0" applyNumberFormat="1" applyFont="1" applyFill="1"/>
    <xf numFmtId="2" fontId="8" fillId="3" borderId="0" xfId="0" applyNumberFormat="1" applyFont="1" applyFill="1" applyAlignment="1">
      <alignment horizontal="right"/>
    </xf>
    <xf numFmtId="2" fontId="9" fillId="3" borderId="0" xfId="0" applyNumberFormat="1" applyFont="1" applyFill="1"/>
    <xf numFmtId="0" fontId="8" fillId="4" borderId="0" xfId="0" applyFont="1" applyFill="1"/>
    <xf numFmtId="2" fontId="8" fillId="4" borderId="0" xfId="0" applyNumberFormat="1" applyFont="1" applyFill="1"/>
    <xf numFmtId="2" fontId="8" fillId="4" borderId="0" xfId="0" applyNumberFormat="1" applyFont="1" applyFill="1" applyAlignment="1">
      <alignment horizontal="right"/>
    </xf>
    <xf numFmtId="2" fontId="9" fillId="4" borderId="0" xfId="0" applyNumberFormat="1" applyFont="1" applyFill="1" applyAlignment="1">
      <alignment horizontal="right"/>
    </xf>
    <xf numFmtId="0" fontId="8" fillId="5" borderId="0" xfId="0" applyFont="1" applyFill="1"/>
    <xf numFmtId="2" fontId="8" fillId="5" borderId="0" xfId="0" applyNumberFormat="1" applyFont="1" applyFill="1"/>
    <xf numFmtId="2" fontId="8" fillId="5" borderId="0" xfId="0" applyNumberFormat="1" applyFont="1" applyFill="1" applyAlignment="1">
      <alignment horizontal="right"/>
    </xf>
    <xf numFmtId="2" fontId="9" fillId="5" borderId="0" xfId="0" applyNumberFormat="1" applyFont="1" applyFill="1" applyAlignment="1">
      <alignment horizontal="right"/>
    </xf>
    <xf numFmtId="164" fontId="8" fillId="2" borderId="0" xfId="0" applyNumberFormat="1" applyFont="1" applyFill="1"/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/>
    <xf numFmtId="0" fontId="10" fillId="0" borderId="0" xfId="0" applyFont="1" applyAlignment="1">
      <alignment horizontal="left" vertical="center"/>
    </xf>
    <xf numFmtId="17" fontId="2" fillId="0" borderId="0" xfId="0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E8A7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.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2%20-%20February%202025/Google/Google%20App%20Sales%20Template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2%20-%20February%202025/Google/Google%20App%20Sales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3%20-%20March%202025/Google/Google%20App%20Sales%20Template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3%20-%20March%202025/Google/Google%20App%20Sales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2%20-%20February%202025/Apple/Apple%20Template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2%20-%20February%202025/Apple/Apple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3%20-%20March%202025/Apple/Apple%20Template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3%20-%20March%202025/Apple/Apple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2%20-%20February%202025/Stripe/Stripe%20Merge%20Template%202025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2%20-%20February%202025/Stripe/Stripe%20Merge%20Template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3%20-%20March%202025/Stripe/Stripe%20Merge%20Template%202025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3%20-%20March%202025/Stripe/Stripe%20Merge%20Template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4%20-%20April%202025/Stripe/Stripe%20Merge%20Template%202025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4%20-%20April%202025/Stripe/Stripe%20Merge%20Template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surfer-my.sharepoint.com/personal/admin_safesurfer_io/Documents/Karen/ADMINISTRATION/ACCOUNTING/DATA%20ANALYSIS/DM%202025/DM%205%20-%20May%202025/Stripe/Stripe%20Merge%20Template%202025.xlsx" TargetMode="External"/><Relationship Id="rId1" Type="http://schemas.openxmlformats.org/officeDocument/2006/relationships/externalLinkPath" Target="https://safesurfer-my.sharepoint.com/personal/admin_safesurfer_io/Documents/Karen/ADMINISTRATION/ACCOUNTING/DATA%20ANALYSIS/DM%202025/DM%205%20-%20May%202025/Stripe/Stripe%20Merge%20Templat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analysis"/>
      <sheetName val="FEB 2025 Table"/>
      <sheetName val="PlayApps_202501"/>
    </sheetNames>
    <sheetDataSet>
      <sheetData sheetId="0">
        <row r="1493">
          <cell r="C1493">
            <v>23</v>
          </cell>
        </row>
        <row r="1494">
          <cell r="C1494">
            <v>92</v>
          </cell>
        </row>
        <row r="1498">
          <cell r="Q1498">
            <v>161</v>
          </cell>
        </row>
        <row r="1504">
          <cell r="Q1504">
            <v>567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 2025 Table"/>
      <sheetName val="Template analysis"/>
      <sheetName val="FEB 2025 Table"/>
    </sheetNames>
    <sheetDataSet>
      <sheetData sheetId="0"/>
      <sheetData sheetId="1">
        <row r="1493">
          <cell r="C1493">
            <v>29</v>
          </cell>
        </row>
        <row r="1494">
          <cell r="C1494">
            <v>79</v>
          </cell>
        </row>
        <row r="1502">
          <cell r="Q1502">
            <v>160</v>
          </cell>
        </row>
        <row r="1508">
          <cell r="Q1508">
            <v>554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Jan - Dec trans."/>
      <sheetName val="Top 10 Countries"/>
    </sheetNames>
    <sheetDataSet>
      <sheetData sheetId="0"/>
      <sheetData sheetId="1">
        <row r="34">
          <cell r="Y34">
            <v>0</v>
          </cell>
          <cell r="Z34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Jan trans."/>
      <sheetName val="Top 10 Countries"/>
    </sheetNames>
    <sheetDataSet>
      <sheetData sheetId="0"/>
      <sheetData sheetId="1">
        <row r="34">
          <cell r="Y34">
            <v>163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 Merge"/>
      <sheetName val="Country Analysis Template"/>
      <sheetName val="Data Analysis Template"/>
    </sheetNames>
    <sheetDataSet>
      <sheetData sheetId="0" refreshError="1"/>
      <sheetData sheetId="1" refreshError="1"/>
      <sheetData sheetId="2" refreshError="1">
        <row r="722">
          <cell r="H722" t="str">
            <v>Batches 3.10.17.24</v>
          </cell>
        </row>
        <row r="736">
          <cell r="N736">
            <v>644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 Merge"/>
      <sheetName val="Country Analysis Template"/>
      <sheetName val="Data Analysis Template"/>
    </sheetNames>
    <sheetDataSet>
      <sheetData sheetId="0"/>
      <sheetData sheetId="1"/>
      <sheetData sheetId="2">
        <row r="936">
          <cell r="N936">
            <v>848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 Merge"/>
      <sheetName val="Country Analysis Template"/>
      <sheetName val="Data Analysis Template"/>
      <sheetName val="KSS Sub"/>
    </sheetNames>
    <sheetDataSet>
      <sheetData sheetId="0"/>
      <sheetData sheetId="1"/>
      <sheetData sheetId="2">
        <row r="936">
          <cell r="N936">
            <v>640</v>
          </cell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Analysis Template"/>
      <sheetName val="Data Analysis Template"/>
      <sheetName val="KSS Sub"/>
    </sheetNames>
    <sheetDataSet>
      <sheetData sheetId="0"/>
      <sheetData sheetId="1">
        <row r="936">
          <cell r="N936">
            <v>682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686CEB-7AAD-4056-B97D-43AEC2921EED}" name="Table2" displayName="Table2" ref="A3:AD33" totalsRowShown="0" headerRowDxfId="14" dataDxfId="13">
  <tableColumns count="30">
    <tableColumn id="1" xr3:uid="{4A896ABB-D471-4239-8456-35EDF9708499}" name="BASED ON" dataDxfId="12"/>
    <tableColumn id="2" xr3:uid="{58E7A967-47D4-4711-B8A1-BF00EA663E5E}" name="Gateway" dataDxfId="11"/>
    <tableColumn id="3" xr3:uid="{BDDF803F-416B-4E0C-B272-B6A91B2D14DA}" name="Column2" dataDxfId="10"/>
    <tableColumn id="4" xr3:uid="{420D1C16-26BE-4722-AEF0-AA7AB85EE310}" name="Jan-24"/>
    <tableColumn id="5" xr3:uid="{E9067404-95B2-46A8-BF51-D2918298946E}" name="Feb-24"/>
    <tableColumn id="6" xr3:uid="{426374F7-0DB2-44BE-975A-0D3B4616A416}" name="Mar-24"/>
    <tableColumn id="7" xr3:uid="{14E78452-A711-4377-BEB0-A0C57DD0E419}" name="Apr-24"/>
    <tableColumn id="8" xr3:uid="{9555D366-1C6D-498D-A5B1-C2B4D2A05C2B}" name="May-24"/>
    <tableColumn id="9" xr3:uid="{CCF7BDA4-B330-4B88-BD96-D629E3BACB03}" name="Jun-24"/>
    <tableColumn id="10" xr3:uid="{B82521C2-151F-478C-8D29-A3FB63B820B8}" name="Jul-24"/>
    <tableColumn id="11" xr3:uid="{18666B66-FEA5-4866-92C8-A12A70FB6183}" name="Aug-24"/>
    <tableColumn id="12" xr3:uid="{0D9B14AB-1361-4392-95FF-ED780A036041}" name="Sept-24"/>
    <tableColumn id="13" xr3:uid="{AFFEC833-F25C-4B9D-9640-FFBC7F7C696E}" name="Oct-24"/>
    <tableColumn id="14" xr3:uid="{B3B1EBB2-BD03-48FF-9CF9-9A7873668864}" name="Nov-24"/>
    <tableColumn id="15" xr3:uid="{7A59503B-4965-4E0D-B4F0-08C86A921AB9}" name="Dec-24"/>
    <tableColumn id="16" xr3:uid="{4299F95A-700B-4002-8FB7-B3B6E8ED410E}" name="Jan-25"/>
    <tableColumn id="17" xr3:uid="{11270893-AEDA-4E33-B5AB-46E9151C8954}" name="Feb-25"/>
    <tableColumn id="18" xr3:uid="{4E747885-1192-4E10-8EEB-AFE43C4D33EC}" name="Mar-25"/>
    <tableColumn id="19" xr3:uid="{35A44319-6D1A-4316-A06C-D2C7B6F3B023}" name="Apr-25" dataDxfId="9" dataCellStyle="Percent"/>
    <tableColumn id="20" xr3:uid="{A789932F-1922-4AF7-A380-38DBE62808CB}" name="May-25" dataDxfId="8" dataCellStyle="Percent"/>
    <tableColumn id="21" xr3:uid="{F0B28D3D-23A8-4A09-8880-D582CBB8DBC3}" name="Jun-25" dataDxfId="7" dataCellStyle="Percent"/>
    <tableColumn id="22" xr3:uid="{CA56366F-0188-46B7-8266-9B7B3940C94B}" name="Jul-25"/>
    <tableColumn id="23" xr3:uid="{D4FC0D68-98A7-4FB4-A3C4-0E60529444DE}" name="Aug-25"/>
    <tableColumn id="24" xr3:uid="{14A1673F-0722-4FCC-BC8D-9041A84D9033}" name="Sept-25" dataDxfId="6" dataCellStyle="Percent"/>
    <tableColumn id="25" xr3:uid="{AA4D03C6-4561-4830-86BF-DD261C66ECC0}" name="Oct-25" dataDxfId="5" dataCellStyle="Percent"/>
    <tableColumn id="26" xr3:uid="{5CB4DD0C-65AC-413F-82B4-711A7AD282C0}" name="Nov-25" dataDxfId="4" dataCellStyle="Percent"/>
    <tableColumn id="27" xr3:uid="{BEDBB16E-19B6-4F94-8D8E-9E458269F3CB}" name="Dec-25" dataDxfId="3" dataCellStyle="Percent"/>
    <tableColumn id="28" xr3:uid="{68849568-037A-4568-AA07-32A5FC0F65A4}" name="Jan-26" dataDxfId="2" dataCellStyle="Percent"/>
    <tableColumn id="29" xr3:uid="{3D58940C-F993-413E-ACFE-D99D9545348C}" name="Feb-26" dataDxfId="1" dataCellStyle="Percent"/>
    <tableColumn id="30" xr3:uid="{5356CC81-7B7D-456B-A996-AB8AD2D8577B}" name="Mar-2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B05F-69EC-434E-8F99-A03D3BA6A014}">
  <sheetPr>
    <pageSetUpPr fitToPage="1"/>
  </sheetPr>
  <dimension ref="A1:AD34"/>
  <sheetViews>
    <sheetView tabSelected="1" zoomScale="85" zoomScaleNormal="85" workbookViewId="0">
      <selection activeCell="D5" sqref="D5:AC5"/>
    </sheetView>
  </sheetViews>
  <sheetFormatPr defaultColWidth="8.88671875" defaultRowHeight="15.6" x14ac:dyDescent="0.3"/>
  <cols>
    <col min="1" max="1" width="19" style="1" customWidth="1"/>
    <col min="2" max="2" width="11.21875" style="1" customWidth="1"/>
    <col min="3" max="3" width="34.6640625" style="1" customWidth="1"/>
    <col min="4" max="4" width="11.33203125" style="1" bestFit="1" customWidth="1"/>
    <col min="5" max="5" width="14.33203125" style="1" bestFit="1" customWidth="1"/>
    <col min="6" max="6" width="10.44140625" style="1" customWidth="1"/>
    <col min="7" max="7" width="9.109375" style="1" customWidth="1"/>
    <col min="8" max="8" width="9.77734375" style="1" customWidth="1"/>
    <col min="9" max="9" width="9" style="1" customWidth="1"/>
    <col min="10" max="10" width="8.88671875" style="1"/>
    <col min="11" max="11" width="9.33203125" style="1" customWidth="1"/>
    <col min="12" max="12" width="9.88671875" style="1" customWidth="1"/>
    <col min="13" max="13" width="12.109375" style="1" bestFit="1" customWidth="1"/>
    <col min="14" max="14" width="9.44140625" style="1" customWidth="1"/>
    <col min="15" max="15" width="9.21875" style="1" customWidth="1"/>
    <col min="16" max="16" width="8.88671875" style="1"/>
    <col min="17" max="17" width="9.109375" style="1" customWidth="1"/>
    <col min="18" max="18" width="9.5546875" style="1" customWidth="1"/>
    <col min="19" max="19" width="9.109375" style="1" customWidth="1"/>
    <col min="20" max="20" width="9.77734375" style="1" customWidth="1"/>
    <col min="21" max="21" width="9" style="1" customWidth="1"/>
    <col min="22" max="22" width="8.88671875" style="1"/>
    <col min="23" max="23" width="9.33203125" style="1" customWidth="1"/>
    <col min="24" max="24" width="9.88671875" style="1" customWidth="1"/>
    <col min="25" max="25" width="9" style="1" customWidth="1"/>
    <col min="26" max="26" width="9.44140625" style="1" customWidth="1"/>
    <col min="27" max="27" width="9.21875" style="1" customWidth="1"/>
    <col min="28" max="28" width="8.88671875" style="1"/>
    <col min="29" max="29" width="9.109375" style="1" customWidth="1"/>
    <col min="30" max="30" width="11.21875" style="1" customWidth="1"/>
    <col min="31" max="16384" width="8.88671875" style="1"/>
  </cols>
  <sheetData>
    <row r="1" spans="1:30" ht="33.6" x14ac:dyDescent="0.65">
      <c r="A1" s="47" t="s">
        <v>20</v>
      </c>
      <c r="B1" s="64"/>
      <c r="C1" s="65"/>
      <c r="D1" s="63" t="s">
        <v>50</v>
      </c>
    </row>
    <row r="2" spans="1:30" x14ac:dyDescent="0.3">
      <c r="B2" s="2"/>
    </row>
    <row r="3" spans="1:30" x14ac:dyDescent="0.3">
      <c r="A3" s="1" t="s">
        <v>11</v>
      </c>
      <c r="B3" s="1" t="s">
        <v>48</v>
      </c>
      <c r="C3" s="1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30</v>
      </c>
      <c r="M3" s="15" t="s">
        <v>31</v>
      </c>
      <c r="N3" s="15" t="s">
        <v>32</v>
      </c>
      <c r="O3" s="15" t="s">
        <v>33</v>
      </c>
      <c r="P3" s="15" t="s">
        <v>34</v>
      </c>
      <c r="Q3" s="15" t="s">
        <v>35</v>
      </c>
      <c r="R3" s="15" t="s">
        <v>36</v>
      </c>
      <c r="S3" s="15" t="s">
        <v>37</v>
      </c>
      <c r="T3" s="15" t="s">
        <v>38</v>
      </c>
      <c r="U3" s="15" t="s">
        <v>39</v>
      </c>
      <c r="V3" s="15" t="s">
        <v>40</v>
      </c>
      <c r="W3" s="15" t="s">
        <v>41</v>
      </c>
      <c r="X3" s="15" t="s">
        <v>42</v>
      </c>
      <c r="Y3" s="15" t="s">
        <v>43</v>
      </c>
      <c r="Z3" s="15" t="s">
        <v>44</v>
      </c>
      <c r="AA3" s="15" t="s">
        <v>45</v>
      </c>
      <c r="AB3" s="15" t="s">
        <v>46</v>
      </c>
      <c r="AC3" s="15" t="s">
        <v>47</v>
      </c>
      <c r="AD3" s="15" t="s">
        <v>49</v>
      </c>
    </row>
    <row r="4" spans="1:30" s="3" customFormat="1" ht="15" x14ac:dyDescent="0.3">
      <c r="A4" s="3" t="s">
        <v>13</v>
      </c>
      <c r="B4" s="3" t="s">
        <v>7</v>
      </c>
      <c r="C4" s="3" t="s">
        <v>0</v>
      </c>
      <c r="D4" s="60">
        <v>12</v>
      </c>
      <c r="E4" s="60">
        <v>14</v>
      </c>
      <c r="F4" s="60">
        <v>18</v>
      </c>
      <c r="G4" s="60">
        <v>15</v>
      </c>
      <c r="H4" s="60">
        <v>15</v>
      </c>
      <c r="I4" s="60">
        <v>19</v>
      </c>
      <c r="J4" s="60">
        <v>17</v>
      </c>
      <c r="K4" s="60">
        <v>18</v>
      </c>
      <c r="L4" s="60">
        <v>19</v>
      </c>
      <c r="M4" s="60">
        <v>20</v>
      </c>
      <c r="N4" s="60">
        <v>23</v>
      </c>
      <c r="O4" s="60">
        <v>25</v>
      </c>
      <c r="P4" s="60">
        <v>29</v>
      </c>
      <c r="Q4" s="60">
        <v>28</v>
      </c>
      <c r="R4" s="60">
        <v>31</v>
      </c>
      <c r="S4" s="61">
        <v>28</v>
      </c>
      <c r="T4" s="61">
        <v>29</v>
      </c>
      <c r="U4" s="61">
        <v>32</v>
      </c>
      <c r="V4" s="60">
        <v>28</v>
      </c>
      <c r="W4" s="60">
        <v>35</v>
      </c>
      <c r="X4" s="60">
        <v>30</v>
      </c>
      <c r="Y4" s="60">
        <v>33</v>
      </c>
      <c r="Z4" s="60">
        <v>34</v>
      </c>
      <c r="AA4" s="60">
        <v>42</v>
      </c>
      <c r="AB4" s="62">
        <v>57</v>
      </c>
      <c r="AC4" s="62">
        <v>48</v>
      </c>
      <c r="AD4" s="27"/>
    </row>
    <row r="5" spans="1:30" s="3" customFormat="1" ht="15" x14ac:dyDescent="0.3">
      <c r="A5" s="3" t="s">
        <v>13</v>
      </c>
      <c r="B5" s="3" t="s">
        <v>7</v>
      </c>
      <c r="C5" s="3" t="s">
        <v>1</v>
      </c>
      <c r="D5" s="60">
        <v>11</v>
      </c>
      <c r="E5" s="60">
        <v>12.5</v>
      </c>
      <c r="F5" s="60">
        <v>16</v>
      </c>
      <c r="G5" s="60">
        <v>14</v>
      </c>
      <c r="H5" s="60">
        <v>13</v>
      </c>
      <c r="I5" s="60">
        <v>17</v>
      </c>
      <c r="J5" s="60">
        <v>15</v>
      </c>
      <c r="K5" s="60">
        <v>15.5</v>
      </c>
      <c r="L5" s="60">
        <v>16.5</v>
      </c>
      <c r="M5" s="60">
        <v>18.100000000000001</v>
      </c>
      <c r="N5" s="60">
        <v>21</v>
      </c>
      <c r="O5" s="60">
        <v>23</v>
      </c>
      <c r="P5" s="60">
        <v>26.3</v>
      </c>
      <c r="Q5" s="60">
        <v>26</v>
      </c>
      <c r="R5" s="60">
        <v>30</v>
      </c>
      <c r="S5" s="61">
        <v>24</v>
      </c>
      <c r="T5" s="61">
        <v>27</v>
      </c>
      <c r="U5" s="61">
        <v>30</v>
      </c>
      <c r="V5" s="60">
        <v>26</v>
      </c>
      <c r="W5" s="60">
        <v>32</v>
      </c>
      <c r="X5" s="60">
        <v>27</v>
      </c>
      <c r="Y5" s="60">
        <v>31</v>
      </c>
      <c r="Z5" s="60">
        <v>30</v>
      </c>
      <c r="AA5" s="60">
        <v>34</v>
      </c>
      <c r="AB5" s="62">
        <v>37</v>
      </c>
      <c r="AC5" s="62">
        <v>40</v>
      </c>
      <c r="AD5" s="27"/>
    </row>
    <row r="6" spans="1:30" s="3" customFormat="1" ht="15" x14ac:dyDescent="0.3">
      <c r="A6" s="3" t="s">
        <v>13</v>
      </c>
      <c r="B6" s="3" t="s">
        <v>7</v>
      </c>
      <c r="C6" s="3" t="s">
        <v>2</v>
      </c>
      <c r="D6" s="4">
        <v>79</v>
      </c>
      <c r="E6" s="4">
        <v>98</v>
      </c>
      <c r="F6" s="4">
        <v>137</v>
      </c>
      <c r="G6" s="4">
        <v>104</v>
      </c>
      <c r="H6" s="4">
        <v>107</v>
      </c>
      <c r="I6" s="4">
        <v>159</v>
      </c>
      <c r="J6" s="4">
        <v>139</v>
      </c>
      <c r="K6" s="4">
        <v>171</v>
      </c>
      <c r="L6" s="4">
        <v>172</v>
      </c>
      <c r="M6" s="4">
        <v>133</v>
      </c>
      <c r="N6" s="4">
        <v>130</v>
      </c>
      <c r="O6" s="4">
        <v>207</v>
      </c>
      <c r="P6" s="4">
        <v>223</v>
      </c>
      <c r="Q6" s="4">
        <v>175</v>
      </c>
      <c r="R6" s="4">
        <v>209</v>
      </c>
      <c r="S6" s="26">
        <v>234</v>
      </c>
      <c r="T6" s="26">
        <v>234</v>
      </c>
      <c r="U6" s="26">
        <v>243</v>
      </c>
      <c r="V6" s="4">
        <v>169</v>
      </c>
      <c r="W6" s="4">
        <v>200</v>
      </c>
      <c r="X6" s="4">
        <v>194</v>
      </c>
      <c r="Y6" s="4">
        <v>185</v>
      </c>
      <c r="Z6" s="4">
        <v>157</v>
      </c>
      <c r="AA6" s="4">
        <v>238</v>
      </c>
      <c r="AB6" s="36">
        <v>195</v>
      </c>
      <c r="AC6" s="36">
        <v>346</v>
      </c>
      <c r="AD6" s="27"/>
    </row>
    <row r="7" spans="1:30" s="3" customFormat="1" ht="15" x14ac:dyDescent="0.3">
      <c r="A7" s="3" t="s">
        <v>13</v>
      </c>
      <c r="B7" s="3" t="s">
        <v>7</v>
      </c>
      <c r="C7" s="3" t="s">
        <v>3</v>
      </c>
      <c r="D7" s="4">
        <v>247</v>
      </c>
      <c r="E7" s="4">
        <v>266</v>
      </c>
      <c r="F7" s="4">
        <v>276</v>
      </c>
      <c r="G7" s="4">
        <v>261</v>
      </c>
      <c r="H7" s="4">
        <v>261</v>
      </c>
      <c r="I7" s="4">
        <v>304</v>
      </c>
      <c r="J7" s="4">
        <v>295</v>
      </c>
      <c r="K7" s="4">
        <v>354</v>
      </c>
      <c r="L7" s="4">
        <v>340</v>
      </c>
      <c r="M7" s="4">
        <v>314</v>
      </c>
      <c r="N7" s="4">
        <v>265</v>
      </c>
      <c r="O7" s="4">
        <v>360</v>
      </c>
      <c r="P7" s="4">
        <v>397</v>
      </c>
      <c r="Q7" s="4">
        <v>346</v>
      </c>
      <c r="R7" s="4">
        <v>423</v>
      </c>
      <c r="S7" s="26">
        <v>527</v>
      </c>
      <c r="T7" s="26">
        <v>642</v>
      </c>
      <c r="U7" s="26">
        <v>750</v>
      </c>
      <c r="V7" s="4">
        <v>600</v>
      </c>
      <c r="W7" s="4">
        <v>472</v>
      </c>
      <c r="X7" s="4">
        <v>395</v>
      </c>
      <c r="Y7" s="4">
        <v>359</v>
      </c>
      <c r="Z7" s="4">
        <v>307</v>
      </c>
      <c r="AA7" s="4">
        <v>376</v>
      </c>
      <c r="AB7" s="36">
        <v>359</v>
      </c>
      <c r="AC7" s="36">
        <v>473</v>
      </c>
      <c r="AD7" s="27"/>
    </row>
    <row r="8" spans="1:30" s="3" customFormat="1" ht="15" x14ac:dyDescent="0.3">
      <c r="A8" s="3" t="s">
        <v>13</v>
      </c>
      <c r="B8" s="3" t="s">
        <v>7</v>
      </c>
      <c r="C8" s="3" t="s">
        <v>4</v>
      </c>
      <c r="D8" s="5">
        <v>4.4900000000000002E-2</v>
      </c>
      <c r="E8" s="5">
        <v>3.95E-2</v>
      </c>
      <c r="F8" s="5">
        <v>4.9500000000000002E-2</v>
      </c>
      <c r="G8" s="5">
        <v>4.41E-2</v>
      </c>
      <c r="H8" s="5">
        <v>3.6299999999999999E-2</v>
      </c>
      <c r="I8" s="5">
        <v>3.1800000000000002E-2</v>
      </c>
      <c r="J8" s="5">
        <v>4.2099999999999999E-2</v>
      </c>
      <c r="K8" s="5">
        <v>3.3599999999999998E-2</v>
      </c>
      <c r="L8" s="5">
        <v>3.2899999999999999E-2</v>
      </c>
      <c r="M8" s="5">
        <v>3.9100000000000003E-2</v>
      </c>
      <c r="N8" s="5">
        <v>4.4200000000000003E-2</v>
      </c>
      <c r="O8" s="5">
        <v>3.0700000000000002E-2</v>
      </c>
      <c r="P8" s="5">
        <v>4.1399999999999999E-2</v>
      </c>
      <c r="Q8" s="5">
        <v>4.1500000000000002E-2</v>
      </c>
      <c r="R8" s="5">
        <v>4.3900000000000002E-2</v>
      </c>
      <c r="S8" s="28">
        <v>3.5900000000000001E-2</v>
      </c>
      <c r="T8" s="28">
        <v>4.7300000000000002E-2</v>
      </c>
      <c r="U8" s="28">
        <v>4.3700000000000003E-2</v>
      </c>
      <c r="V8" s="5">
        <v>7.4099999999999999E-2</v>
      </c>
      <c r="W8" s="5">
        <v>5.6599999999999998E-2</v>
      </c>
      <c r="X8" s="5">
        <v>4.07E-2</v>
      </c>
      <c r="Y8" s="5">
        <v>4.4299999999999999E-2</v>
      </c>
      <c r="Z8" s="5">
        <v>4.1799999999999997E-2</v>
      </c>
      <c r="AA8" s="5">
        <v>3.44E-2</v>
      </c>
      <c r="AB8" s="37">
        <v>3.6900000000000002E-2</v>
      </c>
      <c r="AC8" s="37">
        <v>3.4299999999999997E-2</v>
      </c>
      <c r="AD8" s="27"/>
    </row>
    <row r="9" spans="1:30" s="3" customFormat="1" ht="15" x14ac:dyDescent="0.3">
      <c r="A9" s="3" t="s">
        <v>13</v>
      </c>
      <c r="B9" s="3" t="s">
        <v>7</v>
      </c>
      <c r="C9" s="3" t="s">
        <v>5</v>
      </c>
      <c r="D9" s="4">
        <v>1137</v>
      </c>
      <c r="E9" s="4">
        <v>1190</v>
      </c>
      <c r="F9" s="4">
        <v>1277</v>
      </c>
      <c r="G9" s="4">
        <v>1313</v>
      </c>
      <c r="H9" s="4">
        <v>1371</v>
      </c>
      <c r="I9" s="4">
        <v>1465</v>
      </c>
      <c r="J9" s="4">
        <v>1476</v>
      </c>
      <c r="K9" s="4">
        <v>1680</v>
      </c>
      <c r="L9" s="17">
        <f>O9+L6-(O9*L8)</f>
        <v>2133.2788</v>
      </c>
      <c r="M9" s="18">
        <f>Q9+M6-(Q9*M8)</f>
        <v>2844.10103665</v>
      </c>
      <c r="N9" s="17">
        <f>R9+N6-(R9*N8)</f>
        <v>2416.2736</v>
      </c>
      <c r="O9" s="17">
        <v>2028</v>
      </c>
      <c r="P9" s="17">
        <v>2227</v>
      </c>
      <c r="Q9" s="17">
        <f>(U9*95.85%)+Q6</f>
        <v>2821.4184999999998</v>
      </c>
      <c r="R9" s="17">
        <f>2412-20</f>
        <v>2392</v>
      </c>
      <c r="S9" s="29">
        <f>2563-38</f>
        <v>2525</v>
      </c>
      <c r="T9" s="29">
        <f>2670-33</f>
        <v>2637</v>
      </c>
      <c r="U9" s="29">
        <f>2778-17</f>
        <v>2761</v>
      </c>
      <c r="V9" s="17">
        <f>2761-(2761*7.41%)+169</f>
        <v>2725.4099000000001</v>
      </c>
      <c r="W9" s="17">
        <v>2823</v>
      </c>
      <c r="X9" s="17">
        <f>2933-26</f>
        <v>2907</v>
      </c>
      <c r="Y9" s="17">
        <v>2991</v>
      </c>
      <c r="Z9" s="17">
        <v>3034</v>
      </c>
      <c r="AA9" s="17">
        <v>3173</v>
      </c>
      <c r="AB9" s="38">
        <v>3262</v>
      </c>
      <c r="AC9" s="38">
        <v>3495</v>
      </c>
      <c r="AD9" s="27"/>
    </row>
    <row r="10" spans="1:30" s="3" customFormat="1" ht="15" x14ac:dyDescent="0.3">
      <c r="A10" s="3" t="s">
        <v>12</v>
      </c>
      <c r="B10" s="3" t="s">
        <v>8</v>
      </c>
      <c r="C10" s="3" t="s">
        <v>0</v>
      </c>
      <c r="D10" s="48">
        <v>4</v>
      </c>
      <c r="E10" s="48">
        <v>5</v>
      </c>
      <c r="F10" s="49">
        <v>5.2</v>
      </c>
      <c r="G10" s="49">
        <v>5.0999999999999996</v>
      </c>
      <c r="H10" s="49">
        <v>4</v>
      </c>
      <c r="I10" s="49">
        <v>4.5</v>
      </c>
      <c r="J10" s="49">
        <v>4.4000000000000004</v>
      </c>
      <c r="K10" s="49">
        <v>4.4000000000000004</v>
      </c>
      <c r="L10" s="48">
        <v>4.5999999999999996</v>
      </c>
      <c r="M10" s="48">
        <v>4</v>
      </c>
      <c r="N10" s="48">
        <v>4.5</v>
      </c>
      <c r="O10" s="49">
        <v>4.8</v>
      </c>
      <c r="P10" s="49">
        <v>5</v>
      </c>
      <c r="Q10" s="49">
        <v>4.8</v>
      </c>
      <c r="R10" s="49">
        <v>4.9000000000000004</v>
      </c>
      <c r="S10" s="50">
        <v>5.0999999999999996</v>
      </c>
      <c r="T10" s="50">
        <v>5.5</v>
      </c>
      <c r="U10" s="50">
        <v>5.6</v>
      </c>
      <c r="V10" s="49">
        <v>5.9</v>
      </c>
      <c r="W10" s="49">
        <v>6.1</v>
      </c>
      <c r="X10" s="49">
        <v>6</v>
      </c>
      <c r="Y10" s="49">
        <v>4.5999999999999996</v>
      </c>
      <c r="Z10" s="49">
        <v>5.95</v>
      </c>
      <c r="AA10" s="49">
        <v>6.1</v>
      </c>
      <c r="AB10" s="51">
        <v>6</v>
      </c>
      <c r="AC10" s="51">
        <v>5.55</v>
      </c>
      <c r="AD10" s="27"/>
    </row>
    <row r="11" spans="1:30" s="3" customFormat="1" ht="15" x14ac:dyDescent="0.3">
      <c r="A11" s="3" t="s">
        <v>12</v>
      </c>
      <c r="B11" s="3" t="s">
        <v>8</v>
      </c>
      <c r="C11" s="3" t="s">
        <v>1</v>
      </c>
      <c r="D11" s="48">
        <v>4</v>
      </c>
      <c r="E11" s="48">
        <v>5</v>
      </c>
      <c r="F11" s="49">
        <v>5.2</v>
      </c>
      <c r="G11" s="49">
        <v>5.0999999999999996</v>
      </c>
      <c r="H11" s="49">
        <v>4</v>
      </c>
      <c r="I11" s="49">
        <v>4.5</v>
      </c>
      <c r="J11" s="49">
        <v>4.4000000000000004</v>
      </c>
      <c r="K11" s="49">
        <v>4.4000000000000004</v>
      </c>
      <c r="L11" s="48">
        <v>4.5999999999999996</v>
      </c>
      <c r="M11" s="48">
        <v>4</v>
      </c>
      <c r="N11" s="48">
        <v>4.5</v>
      </c>
      <c r="O11" s="49">
        <v>4.8</v>
      </c>
      <c r="P11" s="49">
        <v>5</v>
      </c>
      <c r="Q11" s="49">
        <v>4.8</v>
      </c>
      <c r="R11" s="49">
        <v>4.9000000000000004</v>
      </c>
      <c r="S11" s="50">
        <v>5.0999999999999996</v>
      </c>
      <c r="T11" s="50">
        <v>5.5</v>
      </c>
      <c r="U11" s="50">
        <v>5.6</v>
      </c>
      <c r="V11" s="49">
        <v>5.9</v>
      </c>
      <c r="W11" s="49">
        <v>6.1</v>
      </c>
      <c r="X11" s="49">
        <v>6</v>
      </c>
      <c r="Y11" s="49">
        <v>4.5999999999999996</v>
      </c>
      <c r="Z11" s="49">
        <v>5.95</v>
      </c>
      <c r="AA11" s="49">
        <v>6.1</v>
      </c>
      <c r="AB11" s="51">
        <v>6</v>
      </c>
      <c r="AC11" s="51">
        <v>5.55</v>
      </c>
      <c r="AD11" s="27"/>
    </row>
    <row r="12" spans="1:30" s="3" customFormat="1" ht="15" x14ac:dyDescent="0.3">
      <c r="A12" s="3" t="s">
        <v>12</v>
      </c>
      <c r="B12" s="3" t="s">
        <v>8</v>
      </c>
      <c r="C12" s="3" t="s">
        <v>14</v>
      </c>
      <c r="D12" s="6"/>
      <c r="E12" s="6"/>
      <c r="F12" s="16"/>
      <c r="G12" s="16"/>
      <c r="H12" s="16"/>
      <c r="I12" s="16"/>
      <c r="J12" s="16"/>
      <c r="K12" s="16"/>
      <c r="L12" s="6"/>
      <c r="M12" s="6">
        <v>29</v>
      </c>
      <c r="N12" s="22">
        <v>34</v>
      </c>
      <c r="O12" s="22">
        <v>32</v>
      </c>
      <c r="P12" s="22">
        <v>46</v>
      </c>
      <c r="Q12" s="22">
        <f>'[1]Template analysis'!$C$1493</f>
        <v>23</v>
      </c>
      <c r="R12" s="22">
        <f>'[2]Template analysis'!$C$1493</f>
        <v>29</v>
      </c>
      <c r="S12" s="22">
        <v>31</v>
      </c>
      <c r="T12" s="22">
        <v>44</v>
      </c>
      <c r="U12" s="22">
        <v>47</v>
      </c>
      <c r="V12" s="22">
        <v>44</v>
      </c>
      <c r="W12" s="22">
        <v>7</v>
      </c>
      <c r="X12" s="22">
        <v>45</v>
      </c>
      <c r="Y12" s="22">
        <v>37</v>
      </c>
      <c r="Z12" s="22">
        <v>37</v>
      </c>
      <c r="AA12" s="22">
        <v>36</v>
      </c>
      <c r="AB12" s="43">
        <v>34</v>
      </c>
      <c r="AC12" s="43">
        <v>22</v>
      </c>
      <c r="AD12" s="27"/>
    </row>
    <row r="13" spans="1:30" s="3" customFormat="1" ht="15" x14ac:dyDescent="0.3">
      <c r="A13" s="3" t="s">
        <v>12</v>
      </c>
      <c r="B13" s="3" t="s">
        <v>8</v>
      </c>
      <c r="C13" s="3" t="s">
        <v>15</v>
      </c>
      <c r="D13" s="6"/>
      <c r="E13" s="6"/>
      <c r="F13" s="16"/>
      <c r="G13" s="16"/>
      <c r="H13" s="16"/>
      <c r="I13" s="16"/>
      <c r="J13" s="16"/>
      <c r="K13" s="16"/>
      <c r="L13" s="6"/>
      <c r="M13" s="6">
        <v>75</v>
      </c>
      <c r="N13" s="23">
        <v>82</v>
      </c>
      <c r="O13" s="23">
        <v>74</v>
      </c>
      <c r="P13" s="23">
        <v>69</v>
      </c>
      <c r="Q13" s="23">
        <f>'[1]Template analysis'!$C$1494</f>
        <v>92</v>
      </c>
      <c r="R13" s="23">
        <f>'[2]Template analysis'!$C$1494</f>
        <v>79</v>
      </c>
      <c r="S13" s="23">
        <v>76</v>
      </c>
      <c r="T13" s="23">
        <v>100</v>
      </c>
      <c r="U13" s="23">
        <v>136</v>
      </c>
      <c r="V13" s="23">
        <v>123</v>
      </c>
      <c r="W13" s="23">
        <v>67</v>
      </c>
      <c r="X13" s="23">
        <v>113</v>
      </c>
      <c r="Y13" s="23">
        <v>58</v>
      </c>
      <c r="Z13" s="23">
        <v>65</v>
      </c>
      <c r="AA13" s="23">
        <v>68</v>
      </c>
      <c r="AB13" s="44">
        <v>72</v>
      </c>
      <c r="AC13" s="44">
        <v>63</v>
      </c>
      <c r="AD13" s="27"/>
    </row>
    <row r="14" spans="1:30" s="3" customFormat="1" ht="15" x14ac:dyDescent="0.3">
      <c r="A14" s="3" t="s">
        <v>12</v>
      </c>
      <c r="B14" s="3" t="s">
        <v>8</v>
      </c>
      <c r="C14" s="3" t="s">
        <v>2</v>
      </c>
      <c r="D14" s="7">
        <v>73</v>
      </c>
      <c r="E14" s="7">
        <v>156</v>
      </c>
      <c r="F14" s="7">
        <v>159</v>
      </c>
      <c r="G14" s="7">
        <v>218</v>
      </c>
      <c r="H14" s="7">
        <v>94</v>
      </c>
      <c r="I14" s="7">
        <v>214</v>
      </c>
      <c r="J14" s="7">
        <v>175</v>
      </c>
      <c r="K14" s="7">
        <v>177</v>
      </c>
      <c r="L14" s="6">
        <v>260</v>
      </c>
      <c r="M14" s="3">
        <f>SUM(M12:M13)</f>
        <v>104</v>
      </c>
      <c r="N14" s="3">
        <f t="shared" ref="N14:AD14" si="0">SUM(N12:N13)</f>
        <v>116</v>
      </c>
      <c r="O14" s="3">
        <f t="shared" si="0"/>
        <v>106</v>
      </c>
      <c r="P14" s="3">
        <f t="shared" si="0"/>
        <v>115</v>
      </c>
      <c r="Q14" s="3">
        <f t="shared" si="0"/>
        <v>115</v>
      </c>
      <c r="R14" s="3">
        <f t="shared" si="0"/>
        <v>108</v>
      </c>
      <c r="S14" s="27">
        <f t="shared" si="0"/>
        <v>107</v>
      </c>
      <c r="T14" s="27">
        <f t="shared" si="0"/>
        <v>144</v>
      </c>
      <c r="U14" s="27">
        <f t="shared" si="0"/>
        <v>183</v>
      </c>
      <c r="V14" s="27">
        <f t="shared" si="0"/>
        <v>167</v>
      </c>
      <c r="W14" s="27">
        <f t="shared" si="0"/>
        <v>74</v>
      </c>
      <c r="X14" s="27">
        <f t="shared" si="0"/>
        <v>158</v>
      </c>
      <c r="Y14" s="27">
        <f t="shared" si="0"/>
        <v>95</v>
      </c>
      <c r="Z14" s="27">
        <f t="shared" si="0"/>
        <v>102</v>
      </c>
      <c r="AA14" s="27">
        <f t="shared" si="0"/>
        <v>104</v>
      </c>
      <c r="AB14" s="27">
        <f t="shared" si="0"/>
        <v>106</v>
      </c>
      <c r="AC14" s="27">
        <f t="shared" si="0"/>
        <v>85</v>
      </c>
      <c r="AD14" s="27">
        <f t="shared" si="0"/>
        <v>0</v>
      </c>
    </row>
    <row r="15" spans="1:30" s="3" customFormat="1" ht="15" x14ac:dyDescent="0.3">
      <c r="A15" s="3" t="s">
        <v>12</v>
      </c>
      <c r="B15" s="3" t="s">
        <v>8</v>
      </c>
      <c r="C15" s="3" t="s">
        <v>3</v>
      </c>
      <c r="D15" s="7">
        <v>73</v>
      </c>
      <c r="E15" s="7">
        <v>156</v>
      </c>
      <c r="F15" s="7">
        <v>159</v>
      </c>
      <c r="G15" s="7">
        <v>218</v>
      </c>
      <c r="H15" s="7">
        <v>94</v>
      </c>
      <c r="I15" s="7">
        <v>214</v>
      </c>
      <c r="J15" s="7">
        <v>175</v>
      </c>
      <c r="K15" s="7">
        <v>177</v>
      </c>
      <c r="L15" s="6">
        <v>260</v>
      </c>
      <c r="M15" s="6">
        <v>105</v>
      </c>
      <c r="N15" s="6">
        <v>121</v>
      </c>
      <c r="O15" s="6">
        <v>109</v>
      </c>
      <c r="P15" s="6">
        <v>121</v>
      </c>
      <c r="Q15" s="6">
        <v>126</v>
      </c>
      <c r="R15" s="6">
        <v>115</v>
      </c>
      <c r="S15" s="22">
        <v>116</v>
      </c>
      <c r="T15" s="22">
        <v>153</v>
      </c>
      <c r="U15" s="22">
        <v>194</v>
      </c>
      <c r="V15" s="22">
        <v>174</v>
      </c>
      <c r="W15" s="22">
        <v>86</v>
      </c>
      <c r="X15" s="22">
        <v>163</v>
      </c>
      <c r="Y15" s="22">
        <v>104</v>
      </c>
      <c r="Z15" s="22">
        <v>117</v>
      </c>
      <c r="AA15" s="22">
        <v>109</v>
      </c>
      <c r="AB15" s="22">
        <v>106</v>
      </c>
      <c r="AC15" s="22">
        <v>97</v>
      </c>
      <c r="AD15" s="22"/>
    </row>
    <row r="16" spans="1:30" s="3" customFormat="1" ht="15" x14ac:dyDescent="0.3">
      <c r="A16" s="3" t="s">
        <v>12</v>
      </c>
      <c r="B16" s="3" t="s">
        <v>8</v>
      </c>
      <c r="C16" s="3" t="s">
        <v>16</v>
      </c>
      <c r="D16" s="7"/>
      <c r="E16" s="7"/>
      <c r="F16" s="7"/>
      <c r="G16" s="7"/>
      <c r="H16" s="7"/>
      <c r="I16" s="7"/>
      <c r="J16" s="7"/>
      <c r="K16" s="7"/>
      <c r="L16" s="6"/>
      <c r="M16" s="21">
        <v>0.20610687022900764</v>
      </c>
      <c r="N16" s="19">
        <v>0.20300751879699253</v>
      </c>
      <c r="O16" s="19">
        <v>0.1428571428571429</v>
      </c>
      <c r="P16" s="19">
        <v>0.18421052631578949</v>
      </c>
      <c r="Q16" s="19">
        <v>0.18823529411764706</v>
      </c>
      <c r="R16" s="19">
        <v>0.18633540372670809</v>
      </c>
      <c r="S16" s="30">
        <v>0.16874999999999996</v>
      </c>
      <c r="T16" s="30">
        <v>7.9268292682926789E-2</v>
      </c>
      <c r="U16" s="30">
        <v>0.15897435897435896</v>
      </c>
      <c r="V16" s="30">
        <v>0.16113744075829384</v>
      </c>
      <c r="W16" s="30">
        <v>-3.167420814479649E-2</v>
      </c>
      <c r="X16" s="30">
        <v>0.17021276595744683</v>
      </c>
      <c r="Y16" s="30">
        <v>0.16249999999999998</v>
      </c>
      <c r="Z16" s="30">
        <v>0.10924369747899154</v>
      </c>
      <c r="AA16" s="30">
        <v>0.12449799196787148</v>
      </c>
      <c r="AB16" s="30">
        <v>0.15354330708661412</v>
      </c>
      <c r="AC16" s="30">
        <v>0.13253012048192769</v>
      </c>
      <c r="AD16" s="30"/>
    </row>
    <row r="17" spans="1:30" s="3" customFormat="1" ht="15" x14ac:dyDescent="0.3">
      <c r="A17" s="3" t="s">
        <v>12</v>
      </c>
      <c r="B17" s="3" t="s">
        <v>8</v>
      </c>
      <c r="C17" s="3" t="s">
        <v>17</v>
      </c>
      <c r="D17" s="7"/>
      <c r="E17" s="7"/>
      <c r="F17" s="7"/>
      <c r="G17" s="7"/>
      <c r="H17" s="7"/>
      <c r="I17" s="7"/>
      <c r="J17" s="7"/>
      <c r="K17" s="7"/>
      <c r="L17" s="6"/>
      <c r="M17" s="21">
        <v>0.13152804642166349</v>
      </c>
      <c r="N17" s="19">
        <v>0.12022900763358779</v>
      </c>
      <c r="O17" s="19">
        <v>0.14364640883977897</v>
      </c>
      <c r="P17" s="19">
        <v>0.12059369202226344</v>
      </c>
      <c r="Q17" s="19">
        <v>0.12523020257826889</v>
      </c>
      <c r="R17" s="19">
        <v>0.16225749559082892</v>
      </c>
      <c r="S17" s="30">
        <v>0.12274368231046928</v>
      </c>
      <c r="T17" s="30">
        <v>0.13879003558718861</v>
      </c>
      <c r="U17" s="30">
        <v>0.16095890410958902</v>
      </c>
      <c r="V17" s="30">
        <v>0.17571884984025554</v>
      </c>
      <c r="W17" s="30">
        <v>-2.6604068857589924E-2</v>
      </c>
      <c r="X17" s="30">
        <v>0.19640387275242044</v>
      </c>
      <c r="Y17" s="30">
        <v>0.18731988472622474</v>
      </c>
      <c r="Z17" s="30">
        <v>0.14951768488745976</v>
      </c>
      <c r="AA17" s="30">
        <v>0.10942760942760943</v>
      </c>
      <c r="AB17" s="30">
        <v>0.1306532663316583</v>
      </c>
      <c r="AC17" s="30">
        <v>0.14551607445008463</v>
      </c>
      <c r="AD17" s="30"/>
    </row>
    <row r="18" spans="1:30" s="3" customFormat="1" ht="15" x14ac:dyDescent="0.3">
      <c r="A18" s="3" t="s">
        <v>12</v>
      </c>
      <c r="B18" s="3" t="s">
        <v>8</v>
      </c>
      <c r="C18" s="3" t="s">
        <v>4</v>
      </c>
      <c r="D18" s="8" t="s">
        <v>6</v>
      </c>
      <c r="E18" s="8" t="s">
        <v>6</v>
      </c>
      <c r="F18" s="8" t="s">
        <v>6</v>
      </c>
      <c r="G18" s="8" t="s">
        <v>6</v>
      </c>
      <c r="H18" s="8" t="s">
        <v>6</v>
      </c>
      <c r="I18" s="8" t="s">
        <v>6</v>
      </c>
      <c r="J18" s="8" t="s">
        <v>6</v>
      </c>
      <c r="K18" s="8" t="s">
        <v>6</v>
      </c>
      <c r="L18" s="6"/>
      <c r="M18" s="20">
        <f>SUM(M16:M17)/2</f>
        <v>0.16881745832533557</v>
      </c>
      <c r="N18" s="20">
        <f t="shared" ref="N18:AD18" si="1">SUM(N16:N17)/2</f>
        <v>0.16161826321529016</v>
      </c>
      <c r="O18" s="20">
        <f t="shared" si="1"/>
        <v>0.14325177584846094</v>
      </c>
      <c r="P18" s="20">
        <f t="shared" si="1"/>
        <v>0.15240210916902647</v>
      </c>
      <c r="Q18" s="20">
        <f t="shared" si="1"/>
        <v>0.15673274834795797</v>
      </c>
      <c r="R18" s="20">
        <f t="shared" si="1"/>
        <v>0.1742964496587685</v>
      </c>
      <c r="S18" s="31">
        <f t="shared" si="1"/>
        <v>0.14574684115523462</v>
      </c>
      <c r="T18" s="31">
        <f t="shared" si="1"/>
        <v>0.1090291641350577</v>
      </c>
      <c r="U18" s="31">
        <f t="shared" si="1"/>
        <v>0.15996663154197399</v>
      </c>
      <c r="V18" s="31">
        <f t="shared" si="1"/>
        <v>0.16842814529927469</v>
      </c>
      <c r="W18" s="31">
        <f t="shared" si="1"/>
        <v>-2.9139138501193207E-2</v>
      </c>
      <c r="X18" s="31">
        <f t="shared" si="1"/>
        <v>0.18330831935493364</v>
      </c>
      <c r="Y18" s="31">
        <f t="shared" si="1"/>
        <v>0.17490994236311236</v>
      </c>
      <c r="Z18" s="31">
        <f t="shared" si="1"/>
        <v>0.12938069118322565</v>
      </c>
      <c r="AA18" s="31">
        <f t="shared" si="1"/>
        <v>0.11696280069774045</v>
      </c>
      <c r="AB18" s="31">
        <f t="shared" si="1"/>
        <v>0.14209828670913621</v>
      </c>
      <c r="AC18" s="31">
        <f t="shared" si="1"/>
        <v>0.13902309746600616</v>
      </c>
      <c r="AD18" s="31">
        <f t="shared" si="1"/>
        <v>0</v>
      </c>
    </row>
    <row r="19" spans="1:30" s="3" customFormat="1" ht="15" x14ac:dyDescent="0.3">
      <c r="A19" s="3" t="s">
        <v>12</v>
      </c>
      <c r="B19" s="3" t="s">
        <v>8</v>
      </c>
      <c r="C19" s="3" t="s">
        <v>18</v>
      </c>
      <c r="D19" s="8"/>
      <c r="E19" s="8"/>
      <c r="F19" s="8"/>
      <c r="G19" s="8"/>
      <c r="H19" s="8"/>
      <c r="I19" s="8"/>
      <c r="J19" s="8"/>
      <c r="K19" s="8"/>
      <c r="L19" s="6"/>
      <c r="M19" s="6">
        <v>133</v>
      </c>
      <c r="N19" s="22">
        <v>140</v>
      </c>
      <c r="O19" s="22">
        <v>152</v>
      </c>
      <c r="P19" s="22">
        <v>170</v>
      </c>
      <c r="Q19" s="22">
        <f>'[1]Template analysis'!$Q$1498</f>
        <v>161</v>
      </c>
      <c r="R19" s="22">
        <f>'[2]Template analysis'!$Q$1502</f>
        <v>160</v>
      </c>
      <c r="S19" s="22">
        <v>164</v>
      </c>
      <c r="T19" s="22">
        <v>195</v>
      </c>
      <c r="U19" s="22">
        <v>211</v>
      </c>
      <c r="V19" s="22">
        <v>221</v>
      </c>
      <c r="W19" s="22">
        <v>235</v>
      </c>
      <c r="X19" s="22">
        <v>240</v>
      </c>
      <c r="Y19" s="22">
        <v>238</v>
      </c>
      <c r="Z19" s="22">
        <v>249</v>
      </c>
      <c r="AA19" s="22">
        <v>254</v>
      </c>
      <c r="AB19" s="43">
        <v>249</v>
      </c>
      <c r="AC19" s="43">
        <v>238</v>
      </c>
      <c r="AD19" s="27"/>
    </row>
    <row r="20" spans="1:30" s="3" customFormat="1" ht="15" x14ac:dyDescent="0.3">
      <c r="A20" s="3" t="s">
        <v>12</v>
      </c>
      <c r="B20" s="3" t="s">
        <v>8</v>
      </c>
      <c r="C20" s="3" t="s">
        <v>19</v>
      </c>
      <c r="D20" s="8"/>
      <c r="E20" s="8"/>
      <c r="F20" s="8"/>
      <c r="G20" s="8"/>
      <c r="H20" s="8"/>
      <c r="I20" s="8"/>
      <c r="J20" s="8"/>
      <c r="K20" s="8"/>
      <c r="L20" s="6"/>
      <c r="M20" s="6">
        <v>524</v>
      </c>
      <c r="N20" s="23">
        <v>543</v>
      </c>
      <c r="O20" s="23">
        <v>539</v>
      </c>
      <c r="P20" s="23">
        <v>543</v>
      </c>
      <c r="Q20" s="23">
        <f>'[1]Template analysis'!$Q$1504</f>
        <v>567</v>
      </c>
      <c r="R20" s="23">
        <f>'[2]Template analysis'!$Q$1508</f>
        <v>554</v>
      </c>
      <c r="S20" s="23">
        <v>562</v>
      </c>
      <c r="T20" s="23">
        <v>584</v>
      </c>
      <c r="U20" s="23">
        <v>626</v>
      </c>
      <c r="V20" s="23">
        <v>639</v>
      </c>
      <c r="W20" s="23">
        <v>723</v>
      </c>
      <c r="X20" s="23">
        <v>694</v>
      </c>
      <c r="Y20" s="23">
        <v>622</v>
      </c>
      <c r="Z20" s="23">
        <v>594</v>
      </c>
      <c r="AA20" s="23">
        <v>597</v>
      </c>
      <c r="AB20" s="44">
        <v>591</v>
      </c>
      <c r="AC20" s="44">
        <v>568</v>
      </c>
      <c r="AD20" s="32"/>
    </row>
    <row r="21" spans="1:30" s="3" customFormat="1" ht="15" x14ac:dyDescent="0.3">
      <c r="A21" s="3" t="s">
        <v>12</v>
      </c>
      <c r="B21" s="3" t="s">
        <v>8</v>
      </c>
      <c r="C21" s="3" t="s">
        <v>5</v>
      </c>
      <c r="D21" s="6">
        <v>584</v>
      </c>
      <c r="E21" s="6">
        <v>589</v>
      </c>
      <c r="F21" s="6">
        <v>597</v>
      </c>
      <c r="G21" s="6">
        <v>613</v>
      </c>
      <c r="H21" s="6">
        <v>621</v>
      </c>
      <c r="I21" s="6">
        <v>628</v>
      </c>
      <c r="J21" s="6">
        <v>613</v>
      </c>
      <c r="K21" s="6">
        <v>614</v>
      </c>
      <c r="L21" s="6">
        <v>648</v>
      </c>
      <c r="M21" s="3">
        <f>SUM(M19:M20)</f>
        <v>657</v>
      </c>
      <c r="N21" s="3">
        <f t="shared" ref="N21:AD21" si="2">SUM(N19:N20)</f>
        <v>683</v>
      </c>
      <c r="O21" s="3">
        <f t="shared" si="2"/>
        <v>691</v>
      </c>
      <c r="P21" s="3">
        <f t="shared" si="2"/>
        <v>713</v>
      </c>
      <c r="Q21" s="3">
        <f t="shared" si="2"/>
        <v>728</v>
      </c>
      <c r="R21" s="3">
        <f t="shared" si="2"/>
        <v>714</v>
      </c>
      <c r="S21" s="27">
        <f t="shared" si="2"/>
        <v>726</v>
      </c>
      <c r="T21" s="27">
        <f t="shared" si="2"/>
        <v>779</v>
      </c>
      <c r="U21" s="27">
        <f t="shared" si="2"/>
        <v>837</v>
      </c>
      <c r="V21" s="27">
        <f t="shared" si="2"/>
        <v>860</v>
      </c>
      <c r="W21" s="27">
        <f t="shared" si="2"/>
        <v>958</v>
      </c>
      <c r="X21" s="27">
        <f t="shared" si="2"/>
        <v>934</v>
      </c>
      <c r="Y21" s="27">
        <f t="shared" si="2"/>
        <v>860</v>
      </c>
      <c r="Z21" s="27">
        <f t="shared" si="2"/>
        <v>843</v>
      </c>
      <c r="AA21" s="27">
        <f t="shared" si="2"/>
        <v>851</v>
      </c>
      <c r="AB21" s="27">
        <f t="shared" si="2"/>
        <v>840</v>
      </c>
      <c r="AC21" s="27">
        <f t="shared" si="2"/>
        <v>806</v>
      </c>
      <c r="AD21" s="27">
        <f t="shared" si="2"/>
        <v>0</v>
      </c>
    </row>
    <row r="22" spans="1:30" x14ac:dyDescent="0.3">
      <c r="A22" s="3" t="s">
        <v>12</v>
      </c>
      <c r="B22" s="1" t="s">
        <v>9</v>
      </c>
      <c r="C22" s="3" t="s">
        <v>0</v>
      </c>
      <c r="D22" s="52">
        <v>3</v>
      </c>
      <c r="E22" s="52">
        <v>3</v>
      </c>
      <c r="F22" s="52">
        <v>3.2</v>
      </c>
      <c r="G22" s="52">
        <v>3.6</v>
      </c>
      <c r="H22" s="52">
        <v>3.5</v>
      </c>
      <c r="I22" s="52">
        <v>4</v>
      </c>
      <c r="J22" s="52">
        <v>5.5</v>
      </c>
      <c r="K22" s="52">
        <v>0</v>
      </c>
      <c r="L22" s="52">
        <v>4.0999999999999996</v>
      </c>
      <c r="M22" s="52">
        <v>5</v>
      </c>
      <c r="N22" s="52">
        <v>0</v>
      </c>
      <c r="O22" s="52">
        <v>4.5999999999999996</v>
      </c>
      <c r="P22" s="52">
        <v>5.5</v>
      </c>
      <c r="Q22" s="53">
        <f>'[3]Top 10 Countries'!$Z$34/1000</f>
        <v>0</v>
      </c>
      <c r="R22" s="53">
        <v>5.9</v>
      </c>
      <c r="S22" s="54">
        <v>6</v>
      </c>
      <c r="T22" s="54">
        <v>0</v>
      </c>
      <c r="U22" s="54">
        <v>5.6</v>
      </c>
      <c r="V22" s="53">
        <v>0</v>
      </c>
      <c r="W22" s="53">
        <v>0</v>
      </c>
      <c r="X22" s="54">
        <v>0</v>
      </c>
      <c r="Y22" s="54">
        <v>7.05</v>
      </c>
      <c r="Z22" s="54">
        <v>0</v>
      </c>
      <c r="AA22" s="54">
        <v>6.1</v>
      </c>
      <c r="AB22" s="55">
        <v>7.4</v>
      </c>
      <c r="AC22" s="55">
        <v>0</v>
      </c>
      <c r="AD22" s="33"/>
    </row>
    <row r="23" spans="1:30" x14ac:dyDescent="0.3">
      <c r="A23" s="3" t="s">
        <v>12</v>
      </c>
      <c r="B23" s="1" t="s">
        <v>9</v>
      </c>
      <c r="C23" s="3" t="s">
        <v>1</v>
      </c>
      <c r="D23" s="52">
        <v>3</v>
      </c>
      <c r="E23" s="52">
        <v>3</v>
      </c>
      <c r="F23" s="52">
        <v>3.2</v>
      </c>
      <c r="G23" s="52">
        <v>3.6</v>
      </c>
      <c r="H23" s="52">
        <v>3.5</v>
      </c>
      <c r="I23" s="52">
        <v>4</v>
      </c>
      <c r="J23" s="52">
        <v>5.5</v>
      </c>
      <c r="K23" s="52">
        <v>0</v>
      </c>
      <c r="L23" s="52">
        <v>4.0999999999999996</v>
      </c>
      <c r="M23" s="52">
        <v>5</v>
      </c>
      <c r="N23" s="52">
        <v>0</v>
      </c>
      <c r="O23" s="52">
        <v>4.5999999999999996</v>
      </c>
      <c r="P23" s="52">
        <v>5.5</v>
      </c>
      <c r="Q23" s="53">
        <f>'[3]Top 10 Countries'!$Z$34/1000</f>
        <v>0</v>
      </c>
      <c r="R23" s="53">
        <v>5.9</v>
      </c>
      <c r="S23" s="54">
        <v>6</v>
      </c>
      <c r="T23" s="54">
        <v>0</v>
      </c>
      <c r="U23" s="54">
        <v>5.6</v>
      </c>
      <c r="V23" s="53">
        <v>0</v>
      </c>
      <c r="W23" s="53">
        <v>0</v>
      </c>
      <c r="X23" s="54">
        <v>0</v>
      </c>
      <c r="Y23" s="54">
        <v>7.05</v>
      </c>
      <c r="Z23" s="54">
        <v>0</v>
      </c>
      <c r="AA23" s="54">
        <v>6.1</v>
      </c>
      <c r="AB23" s="55">
        <v>7.4</v>
      </c>
      <c r="AC23" s="55">
        <v>0</v>
      </c>
      <c r="AD23" s="33"/>
    </row>
    <row r="24" spans="1:30" x14ac:dyDescent="0.3">
      <c r="A24" s="3" t="s">
        <v>12</v>
      </c>
      <c r="B24" s="1" t="s">
        <v>9</v>
      </c>
      <c r="C24" s="3" t="s">
        <v>2</v>
      </c>
      <c r="D24" s="10">
        <v>61</v>
      </c>
      <c r="E24" s="10">
        <v>62</v>
      </c>
      <c r="F24" s="10">
        <v>75</v>
      </c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10" t="s">
        <v>6</v>
      </c>
      <c r="M24" s="10" t="s">
        <v>6</v>
      </c>
      <c r="N24" s="10" t="s">
        <v>6</v>
      </c>
      <c r="O24" s="10" t="s">
        <v>6</v>
      </c>
      <c r="P24" s="10" t="s">
        <v>6</v>
      </c>
      <c r="Q24" s="10" t="s">
        <v>6</v>
      </c>
      <c r="R24" s="10" t="s">
        <v>6</v>
      </c>
      <c r="S24" s="10" t="s">
        <v>6</v>
      </c>
      <c r="T24" s="10" t="s">
        <v>6</v>
      </c>
      <c r="U24" s="10" t="s">
        <v>6</v>
      </c>
      <c r="V24" s="10" t="s">
        <v>6</v>
      </c>
      <c r="W24" s="10" t="s">
        <v>6</v>
      </c>
      <c r="X24" s="10" t="s">
        <v>6</v>
      </c>
      <c r="Y24" s="10" t="s">
        <v>6</v>
      </c>
      <c r="Z24" s="10" t="s">
        <v>6</v>
      </c>
      <c r="AA24" s="10" t="s">
        <v>6</v>
      </c>
      <c r="AB24" s="39" t="s">
        <v>6</v>
      </c>
      <c r="AC24" s="39" t="s">
        <v>6</v>
      </c>
      <c r="AD24" s="33"/>
    </row>
    <row r="25" spans="1:30" x14ac:dyDescent="0.3">
      <c r="A25" s="3" t="s">
        <v>12</v>
      </c>
      <c r="B25" s="1" t="s">
        <v>9</v>
      </c>
      <c r="C25" s="3" t="s">
        <v>3</v>
      </c>
      <c r="D25" s="10">
        <v>61</v>
      </c>
      <c r="E25" s="10">
        <v>62</v>
      </c>
      <c r="F25" s="10">
        <v>75</v>
      </c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10" t="s">
        <v>6</v>
      </c>
      <c r="M25" s="10" t="s">
        <v>6</v>
      </c>
      <c r="N25" s="10" t="s">
        <v>6</v>
      </c>
      <c r="O25" s="10" t="s">
        <v>6</v>
      </c>
      <c r="P25" s="10" t="s">
        <v>6</v>
      </c>
      <c r="Q25" s="10" t="s">
        <v>6</v>
      </c>
      <c r="R25" s="10" t="s">
        <v>6</v>
      </c>
      <c r="S25" s="10" t="s">
        <v>6</v>
      </c>
      <c r="T25" s="10" t="s">
        <v>6</v>
      </c>
      <c r="U25" s="10" t="s">
        <v>6</v>
      </c>
      <c r="V25" s="10" t="s">
        <v>6</v>
      </c>
      <c r="W25" s="10" t="s">
        <v>6</v>
      </c>
      <c r="X25" s="10" t="s">
        <v>6</v>
      </c>
      <c r="Y25" s="10" t="s">
        <v>6</v>
      </c>
      <c r="Z25" s="10" t="s">
        <v>6</v>
      </c>
      <c r="AA25" s="10" t="s">
        <v>6</v>
      </c>
      <c r="AB25" s="39" t="s">
        <v>6</v>
      </c>
      <c r="AC25" s="39" t="s">
        <v>6</v>
      </c>
      <c r="AD25" s="33"/>
    </row>
    <row r="26" spans="1:30" x14ac:dyDescent="0.3">
      <c r="A26" s="3" t="s">
        <v>12</v>
      </c>
      <c r="B26" s="1" t="s">
        <v>9</v>
      </c>
      <c r="C26" s="3" t="s">
        <v>4</v>
      </c>
      <c r="D26" s="11" t="s">
        <v>6</v>
      </c>
      <c r="E26" s="11" t="s">
        <v>6</v>
      </c>
      <c r="F26" s="11" t="s">
        <v>6</v>
      </c>
      <c r="G26" s="11" t="s">
        <v>6</v>
      </c>
      <c r="H26" s="11" t="s">
        <v>6</v>
      </c>
      <c r="I26" s="11" t="s">
        <v>6</v>
      </c>
      <c r="J26" s="11" t="s">
        <v>6</v>
      </c>
      <c r="K26" s="11" t="s">
        <v>6</v>
      </c>
      <c r="L26" s="11" t="s">
        <v>6</v>
      </c>
      <c r="M26" s="11" t="s">
        <v>6</v>
      </c>
      <c r="N26" s="11" t="s">
        <v>6</v>
      </c>
      <c r="O26" s="11" t="s">
        <v>6</v>
      </c>
      <c r="P26" s="11" t="s">
        <v>6</v>
      </c>
      <c r="Q26" s="11" t="s">
        <v>6</v>
      </c>
      <c r="R26" s="11" t="s">
        <v>6</v>
      </c>
      <c r="S26" s="11" t="s">
        <v>6</v>
      </c>
      <c r="T26" s="11" t="s">
        <v>6</v>
      </c>
      <c r="U26" s="11" t="s">
        <v>6</v>
      </c>
      <c r="V26" s="11" t="s">
        <v>6</v>
      </c>
      <c r="W26" s="11" t="s">
        <v>6</v>
      </c>
      <c r="X26" s="11" t="s">
        <v>6</v>
      </c>
      <c r="Y26" s="11" t="s">
        <v>6</v>
      </c>
      <c r="Z26" s="11" t="s">
        <v>6</v>
      </c>
      <c r="AA26" s="11" t="s">
        <v>6</v>
      </c>
      <c r="AB26" s="40" t="s">
        <v>6</v>
      </c>
      <c r="AC26" s="40" t="s">
        <v>6</v>
      </c>
      <c r="AD26" s="33"/>
    </row>
    <row r="27" spans="1:30" x14ac:dyDescent="0.3">
      <c r="A27" s="3" t="s">
        <v>12</v>
      </c>
      <c r="B27" s="1" t="s">
        <v>9</v>
      </c>
      <c r="C27" s="3" t="s">
        <v>5</v>
      </c>
      <c r="D27" s="9">
        <v>61</v>
      </c>
      <c r="E27" s="9">
        <v>62</v>
      </c>
      <c r="F27" s="9">
        <v>75</v>
      </c>
      <c r="G27" s="9">
        <v>65</v>
      </c>
      <c r="H27" s="9">
        <v>73</v>
      </c>
      <c r="I27" s="9">
        <v>93</v>
      </c>
      <c r="J27" s="9">
        <v>191</v>
      </c>
      <c r="K27" s="9">
        <v>0</v>
      </c>
      <c r="L27" s="9">
        <v>125</v>
      </c>
      <c r="M27" s="9">
        <v>214</v>
      </c>
      <c r="N27" s="9">
        <v>0</v>
      </c>
      <c r="O27" s="9">
        <v>148</v>
      </c>
      <c r="P27" s="9">
        <v>247</v>
      </c>
      <c r="Q27" s="24">
        <f>'[3]Top 10 Countries'!$Y$34</f>
        <v>0</v>
      </c>
      <c r="R27" s="24">
        <f>'[4]Top 10 Countries'!$Y$34</f>
        <v>163</v>
      </c>
      <c r="S27" s="34">
        <v>276</v>
      </c>
      <c r="T27" s="34">
        <v>0</v>
      </c>
      <c r="U27" s="34">
        <v>208</v>
      </c>
      <c r="V27" s="24">
        <v>0</v>
      </c>
      <c r="W27" s="24">
        <v>0</v>
      </c>
      <c r="X27" s="34">
        <v>0</v>
      </c>
      <c r="Y27" s="34">
        <v>299</v>
      </c>
      <c r="Z27" s="34">
        <v>0</v>
      </c>
      <c r="AA27" s="34">
        <v>265</v>
      </c>
      <c r="AB27" s="45">
        <v>351</v>
      </c>
      <c r="AC27" s="45">
        <v>0</v>
      </c>
      <c r="AD27" s="33"/>
    </row>
    <row r="28" spans="1:30" x14ac:dyDescent="0.3">
      <c r="A28" s="3" t="s">
        <v>12</v>
      </c>
      <c r="B28" s="1" t="s">
        <v>10</v>
      </c>
      <c r="C28" s="3" t="s">
        <v>0</v>
      </c>
      <c r="D28" s="56">
        <v>15</v>
      </c>
      <c r="E28" s="56">
        <v>15.1</v>
      </c>
      <c r="F28" s="56">
        <v>17.2</v>
      </c>
      <c r="G28" s="56">
        <v>16</v>
      </c>
      <c r="H28" s="56">
        <v>15</v>
      </c>
      <c r="I28" s="56">
        <v>14.9</v>
      </c>
      <c r="J28" s="56">
        <v>17.5</v>
      </c>
      <c r="K28" s="56">
        <v>14.6</v>
      </c>
      <c r="L28" s="56">
        <v>20</v>
      </c>
      <c r="M28" s="56">
        <v>15.4</v>
      </c>
      <c r="N28" s="56">
        <v>19.899999999999999</v>
      </c>
      <c r="O28" s="56">
        <v>24.1</v>
      </c>
      <c r="P28" s="56">
        <v>25.2</v>
      </c>
      <c r="Q28" s="57">
        <v>25.3</v>
      </c>
      <c r="R28" s="57">
        <v>31.15</v>
      </c>
      <c r="S28" s="58">
        <v>25.6</v>
      </c>
      <c r="T28" s="58">
        <v>24</v>
      </c>
      <c r="U28" s="58">
        <v>31.1</v>
      </c>
      <c r="V28" s="57">
        <v>25</v>
      </c>
      <c r="W28" s="57">
        <v>26.3</v>
      </c>
      <c r="X28" s="58">
        <v>34.5</v>
      </c>
      <c r="Y28" s="58">
        <v>26.4</v>
      </c>
      <c r="Z28" s="58">
        <v>29</v>
      </c>
      <c r="AA28" s="58">
        <v>37.799999999999997</v>
      </c>
      <c r="AB28" s="59">
        <v>52</v>
      </c>
      <c r="AC28" s="59">
        <v>49.3</v>
      </c>
      <c r="AD28" s="33"/>
    </row>
    <row r="29" spans="1:30" x14ac:dyDescent="0.3">
      <c r="A29" s="3" t="s">
        <v>12</v>
      </c>
      <c r="B29" s="1" t="s">
        <v>10</v>
      </c>
      <c r="C29" s="3" t="s">
        <v>1</v>
      </c>
      <c r="D29" s="56">
        <v>15</v>
      </c>
      <c r="E29" s="56">
        <v>15.1</v>
      </c>
      <c r="F29" s="56">
        <v>17.2</v>
      </c>
      <c r="G29" s="56">
        <v>16</v>
      </c>
      <c r="H29" s="56">
        <v>15</v>
      </c>
      <c r="I29" s="56">
        <v>14.9</v>
      </c>
      <c r="J29" s="56">
        <v>17.5</v>
      </c>
      <c r="K29" s="56">
        <v>14.6</v>
      </c>
      <c r="L29" s="56">
        <v>20</v>
      </c>
      <c r="M29" s="56">
        <v>15.4</v>
      </c>
      <c r="N29" s="56">
        <v>19.899999999999999</v>
      </c>
      <c r="O29" s="56">
        <v>24.1</v>
      </c>
      <c r="P29" s="56">
        <v>25.2</v>
      </c>
      <c r="Q29" s="57">
        <v>25.3</v>
      </c>
      <c r="R29" s="57">
        <v>31.15</v>
      </c>
      <c r="S29" s="58">
        <v>25.6</v>
      </c>
      <c r="T29" s="58">
        <v>24</v>
      </c>
      <c r="U29" s="58">
        <v>31.1</v>
      </c>
      <c r="V29" s="57">
        <v>25</v>
      </c>
      <c r="W29" s="57">
        <v>26.3</v>
      </c>
      <c r="X29" s="58">
        <v>34.5</v>
      </c>
      <c r="Y29" s="58">
        <v>26.4</v>
      </c>
      <c r="Z29" s="58">
        <v>29</v>
      </c>
      <c r="AA29" s="58">
        <v>37.799999999999997</v>
      </c>
      <c r="AB29" s="59">
        <v>52</v>
      </c>
      <c r="AC29" s="59">
        <v>49.3</v>
      </c>
      <c r="AD29" s="33"/>
    </row>
    <row r="30" spans="1:30" x14ac:dyDescent="0.3">
      <c r="A30" s="3" t="s">
        <v>12</v>
      </c>
      <c r="B30" s="1" t="s">
        <v>10</v>
      </c>
      <c r="C30" s="3" t="s">
        <v>2</v>
      </c>
      <c r="D30" s="13" t="s">
        <v>6</v>
      </c>
      <c r="E30" s="13" t="s">
        <v>6</v>
      </c>
      <c r="F30" s="13" t="s">
        <v>6</v>
      </c>
      <c r="G30" s="13" t="s">
        <v>6</v>
      </c>
      <c r="H30" s="13" t="s">
        <v>6</v>
      </c>
      <c r="I30" s="13" t="s">
        <v>6</v>
      </c>
      <c r="J30" s="13" t="s">
        <v>6</v>
      </c>
      <c r="K30" s="13" t="s">
        <v>6</v>
      </c>
      <c r="L30" s="13" t="s">
        <v>6</v>
      </c>
      <c r="M30" s="13" t="s">
        <v>6</v>
      </c>
      <c r="N30" s="13" t="s">
        <v>6</v>
      </c>
      <c r="O30" s="13" t="s">
        <v>6</v>
      </c>
      <c r="P30" s="13" t="s">
        <v>6</v>
      </c>
      <c r="Q30" s="13" t="s">
        <v>6</v>
      </c>
      <c r="R30" s="13" t="s">
        <v>6</v>
      </c>
      <c r="S30" s="13" t="s">
        <v>6</v>
      </c>
      <c r="T30" s="13" t="s">
        <v>6</v>
      </c>
      <c r="U30" s="13" t="s">
        <v>6</v>
      </c>
      <c r="V30" s="13" t="s">
        <v>6</v>
      </c>
      <c r="W30" s="13" t="s">
        <v>6</v>
      </c>
      <c r="X30" s="13" t="s">
        <v>6</v>
      </c>
      <c r="Y30" s="13" t="s">
        <v>6</v>
      </c>
      <c r="Z30" s="13" t="s">
        <v>6</v>
      </c>
      <c r="AA30" s="13" t="s">
        <v>6</v>
      </c>
      <c r="AB30" s="41" t="s">
        <v>6</v>
      </c>
      <c r="AC30" s="41" t="s">
        <v>6</v>
      </c>
      <c r="AD30" s="33"/>
    </row>
    <row r="31" spans="1:30" x14ac:dyDescent="0.3">
      <c r="A31" s="3" t="s">
        <v>12</v>
      </c>
      <c r="B31" s="1" t="s">
        <v>10</v>
      </c>
      <c r="C31" s="3" t="s">
        <v>3</v>
      </c>
      <c r="D31" s="13" t="s">
        <v>6</v>
      </c>
      <c r="E31" s="13" t="s">
        <v>6</v>
      </c>
      <c r="F31" s="13" t="s">
        <v>6</v>
      </c>
      <c r="G31" s="13" t="s">
        <v>6</v>
      </c>
      <c r="H31" s="13" t="s">
        <v>6</v>
      </c>
      <c r="I31" s="13" t="s">
        <v>6</v>
      </c>
      <c r="J31" s="13" t="s">
        <v>6</v>
      </c>
      <c r="K31" s="13" t="s">
        <v>6</v>
      </c>
      <c r="L31" s="13" t="s">
        <v>6</v>
      </c>
      <c r="M31" s="13" t="s">
        <v>6</v>
      </c>
      <c r="N31" s="13" t="s">
        <v>6</v>
      </c>
      <c r="O31" s="13" t="s">
        <v>6</v>
      </c>
      <c r="P31" s="13" t="s">
        <v>6</v>
      </c>
      <c r="Q31" s="13" t="s">
        <v>6</v>
      </c>
      <c r="R31" s="13" t="s">
        <v>6</v>
      </c>
      <c r="S31" s="13" t="s">
        <v>6</v>
      </c>
      <c r="T31" s="13" t="s">
        <v>6</v>
      </c>
      <c r="U31" s="13" t="s">
        <v>6</v>
      </c>
      <c r="V31" s="13" t="s">
        <v>6</v>
      </c>
      <c r="W31" s="13" t="s">
        <v>6</v>
      </c>
      <c r="X31" s="13" t="s">
        <v>6</v>
      </c>
      <c r="Y31" s="13" t="s">
        <v>6</v>
      </c>
      <c r="Z31" s="13" t="s">
        <v>6</v>
      </c>
      <c r="AA31" s="13" t="s">
        <v>6</v>
      </c>
      <c r="AB31" s="41" t="s">
        <v>6</v>
      </c>
      <c r="AC31" s="41" t="s">
        <v>6</v>
      </c>
      <c r="AD31" s="33"/>
    </row>
    <row r="32" spans="1:30" x14ac:dyDescent="0.3">
      <c r="A32" s="3" t="s">
        <v>12</v>
      </c>
      <c r="B32" s="1" t="s">
        <v>10</v>
      </c>
      <c r="C32" s="3" t="s">
        <v>4</v>
      </c>
      <c r="D32" s="14" t="s">
        <v>6</v>
      </c>
      <c r="E32" s="14" t="s">
        <v>6</v>
      </c>
      <c r="F32" s="14" t="s">
        <v>6</v>
      </c>
      <c r="G32" s="14" t="s">
        <v>6</v>
      </c>
      <c r="H32" s="14" t="s">
        <v>6</v>
      </c>
      <c r="I32" s="14" t="s">
        <v>6</v>
      </c>
      <c r="J32" s="14" t="s">
        <v>6</v>
      </c>
      <c r="K32" s="14" t="s">
        <v>6</v>
      </c>
      <c r="L32" s="14" t="s">
        <v>6</v>
      </c>
      <c r="M32" s="14" t="s">
        <v>6</v>
      </c>
      <c r="N32" s="14" t="s">
        <v>6</v>
      </c>
      <c r="O32" s="14" t="s">
        <v>6</v>
      </c>
      <c r="P32" s="14" t="s">
        <v>6</v>
      </c>
      <c r="Q32" s="14" t="s">
        <v>6</v>
      </c>
      <c r="R32" s="14" t="s">
        <v>6</v>
      </c>
      <c r="S32" s="14" t="s">
        <v>6</v>
      </c>
      <c r="T32" s="14" t="s">
        <v>6</v>
      </c>
      <c r="U32" s="14" t="s">
        <v>6</v>
      </c>
      <c r="V32" s="14" t="s">
        <v>6</v>
      </c>
      <c r="W32" s="14" t="s">
        <v>6</v>
      </c>
      <c r="X32" s="14" t="s">
        <v>6</v>
      </c>
      <c r="Y32" s="14" t="s">
        <v>6</v>
      </c>
      <c r="Z32" s="14" t="s">
        <v>6</v>
      </c>
      <c r="AA32" s="14" t="s">
        <v>6</v>
      </c>
      <c r="AB32" s="42" t="s">
        <v>6</v>
      </c>
      <c r="AC32" s="42" t="s">
        <v>6</v>
      </c>
      <c r="AD32" s="33"/>
    </row>
    <row r="33" spans="1:30" x14ac:dyDescent="0.3">
      <c r="A33" s="3" t="s">
        <v>12</v>
      </c>
      <c r="B33" s="1" t="s">
        <v>10</v>
      </c>
      <c r="C33" s="3" t="s">
        <v>5</v>
      </c>
      <c r="D33" s="12">
        <v>528</v>
      </c>
      <c r="E33" s="12">
        <v>479</v>
      </c>
      <c r="F33" s="12">
        <v>510</v>
      </c>
      <c r="G33" s="12">
        <v>560</v>
      </c>
      <c r="H33" s="12">
        <v>485</v>
      </c>
      <c r="I33" s="12">
        <v>479</v>
      </c>
      <c r="J33" s="12">
        <v>598</v>
      </c>
      <c r="K33" s="12">
        <v>506</v>
      </c>
      <c r="L33" s="12">
        <v>643</v>
      </c>
      <c r="M33" s="12">
        <v>513</v>
      </c>
      <c r="N33" s="12">
        <v>545</v>
      </c>
      <c r="O33" s="12">
        <v>681</v>
      </c>
      <c r="P33" s="12">
        <v>661</v>
      </c>
      <c r="Q33" s="25">
        <f>'[5]Data Analysis Template'!$N$736</f>
        <v>644</v>
      </c>
      <c r="R33" s="25">
        <f>'[6]Data Analysis Template'!$N$936</f>
        <v>848</v>
      </c>
      <c r="S33" s="35">
        <f>'[7]Data Analysis Template'!$N$936</f>
        <v>640</v>
      </c>
      <c r="T33" s="35">
        <f>'[8]Data Analysis Template'!$N$936</f>
        <v>682</v>
      </c>
      <c r="U33" s="35">
        <v>861</v>
      </c>
      <c r="V33" s="25">
        <v>705</v>
      </c>
      <c r="W33" s="25">
        <v>690</v>
      </c>
      <c r="X33" s="35">
        <v>925</v>
      </c>
      <c r="Y33" s="35">
        <v>728</v>
      </c>
      <c r="Z33" s="35">
        <v>727</v>
      </c>
      <c r="AA33" s="35">
        <v>885</v>
      </c>
      <c r="AB33" s="46">
        <v>925</v>
      </c>
      <c r="AC33" s="46">
        <v>832</v>
      </c>
      <c r="AD33" s="33"/>
    </row>
    <row r="34" spans="1:30" x14ac:dyDescent="0.3">
      <c r="X34" s="33"/>
      <c r="Y34" s="33"/>
      <c r="Z34" s="33"/>
      <c r="AA34" s="33"/>
      <c r="AB34" s="33"/>
      <c r="AC34" s="33"/>
      <c r="AD34" s="33"/>
    </row>
  </sheetData>
  <mergeCells count="1">
    <mergeCell ref="B1:C1"/>
  </mergeCells>
  <pageMargins left="0.59055118110236227" right="0.59055118110236227" top="0.59055118110236227" bottom="0.59055118110236227" header="0.31496062992125984" footer="0.31496062992125984"/>
  <pageSetup paperSize="9" scale="57" fitToHeight="0" orientation="landscape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Beattie</dc:creator>
  <cp:lastModifiedBy>Kumkale, Siddharth (Student)</cp:lastModifiedBy>
  <dcterms:created xsi:type="dcterms:W3CDTF">2026-09-22T00:14:55Z</dcterms:created>
  <dcterms:modified xsi:type="dcterms:W3CDTF">2026-09-22T02:09:40Z</dcterms:modified>
</cp:coreProperties>
</file>