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afesurfer-my.sharepoint.com/personal/admin_safesurfer_io/Documents/Karen/ADMINISTRATION/ACCOUNTING/DATA ANALYSIS/SIDDY/Sales - SIDDY NOW HAS/"/>
    </mc:Choice>
  </mc:AlternateContent>
  <xr:revisionPtr revIDLastSave="2268" documentId="13_ncr:1_{A74C16FC-F451-42DB-9DBB-2BFC07428995}" xr6:coauthVersionLast="47" xr6:coauthVersionMax="47" xr10:uidLastSave="{3194935F-C84B-4341-9065-B7A0C4560F0D}"/>
  <bookViews>
    <workbookView xWindow="-19310" yWindow="-110" windowWidth="19420" windowHeight="10300" xr2:uid="{D18D926E-221D-4CFB-9F95-63CCB45A4168}"/>
  </bookViews>
  <sheets>
    <sheet name="Top Countries $" sheetId="4" r:id="rId1"/>
    <sheet name="Income Source $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5" l="1"/>
  <c r="F25" i="5" s="1"/>
  <c r="N24" i="5"/>
  <c r="F24" i="5"/>
  <c r="N23" i="5"/>
  <c r="F23" i="5" s="1"/>
  <c r="N22" i="5"/>
  <c r="F22" i="5"/>
  <c r="N21" i="5"/>
  <c r="F21" i="5" s="1"/>
  <c r="N20" i="5"/>
  <c r="F20" i="5"/>
  <c r="N19" i="5"/>
  <c r="F19" i="5" s="1"/>
  <c r="N18" i="5"/>
  <c r="F18" i="5"/>
  <c r="N17" i="5"/>
  <c r="F17" i="5" s="1"/>
  <c r="N16" i="5"/>
  <c r="F16" i="5" s="1"/>
  <c r="N15" i="5"/>
  <c r="F15" i="5" s="1"/>
  <c r="N14" i="5"/>
  <c r="F14" i="5"/>
  <c r="N13" i="5"/>
  <c r="F13" i="5" s="1"/>
  <c r="N12" i="5"/>
  <c r="F12" i="5"/>
  <c r="N11" i="5"/>
  <c r="F11" i="5" s="1"/>
  <c r="N10" i="5"/>
  <c r="F10" i="5" s="1"/>
  <c r="N9" i="5"/>
  <c r="F9" i="5" s="1"/>
  <c r="N8" i="5"/>
  <c r="F8" i="5"/>
  <c r="N7" i="5"/>
  <c r="F7" i="5" s="1"/>
  <c r="N6" i="5"/>
  <c r="F6" i="5"/>
  <c r="D223" i="4" l="1"/>
  <c r="D211" i="4" l="1"/>
  <c r="D199" i="4" l="1"/>
  <c r="D187" i="4" l="1"/>
  <c r="D175" i="4" l="1"/>
  <c r="D163" i="4" l="1"/>
  <c r="D151" i="4" l="1"/>
  <c r="D139" i="4" l="1"/>
  <c r="D127" i="4" l="1"/>
  <c r="D115" i="4" l="1"/>
  <c r="D103" i="4" l="1"/>
  <c r="D91" i="4" l="1"/>
  <c r="D79" i="4" l="1"/>
  <c r="D67" i="4" l="1"/>
  <c r="D55" i="4" l="1"/>
  <c r="D43" i="4" l="1"/>
  <c r="D31" i="4"/>
  <c r="D19" i="4"/>
  <c r="D235" i="4" l="1"/>
  <c r="D247" i="4" l="1"/>
</calcChain>
</file>

<file path=xl/sharedStrings.xml><?xml version="1.0" encoding="utf-8"?>
<sst xmlns="http://schemas.openxmlformats.org/spreadsheetml/2006/main" count="281" uniqueCount="45">
  <si>
    <t>Google</t>
  </si>
  <si>
    <t>United States of America</t>
  </si>
  <si>
    <t>New Zealand</t>
  </si>
  <si>
    <t>Great Britain</t>
  </si>
  <si>
    <t>South Africa</t>
  </si>
  <si>
    <t>Australia</t>
  </si>
  <si>
    <t>Canada</t>
  </si>
  <si>
    <t>Germany</t>
  </si>
  <si>
    <t>India</t>
  </si>
  <si>
    <t>Brazil</t>
  </si>
  <si>
    <t>Other</t>
  </si>
  <si>
    <t>Americas</t>
  </si>
  <si>
    <t>Invoices</t>
  </si>
  <si>
    <t>Marketing Support</t>
  </si>
  <si>
    <t>Resellers</t>
  </si>
  <si>
    <t>Country</t>
  </si>
  <si>
    <t>Total</t>
  </si>
  <si>
    <t>Website (Stripe)</t>
  </si>
  <si>
    <t>Apple</t>
  </si>
  <si>
    <t>Product Sales</t>
  </si>
  <si>
    <t>Shipping</t>
  </si>
  <si>
    <t>Licencing</t>
  </si>
  <si>
    <t>Euro-Zone</t>
  </si>
  <si>
    <t>nzd</t>
  </si>
  <si>
    <t>usd</t>
  </si>
  <si>
    <t>Ireland</t>
  </si>
  <si>
    <t>Sweden</t>
  </si>
  <si>
    <t>Jamaica</t>
  </si>
  <si>
    <t>Netherlands</t>
  </si>
  <si>
    <t>Denmark</t>
  </si>
  <si>
    <t>aud</t>
  </si>
  <si>
    <t>Poland</t>
  </si>
  <si>
    <t>Israel</t>
  </si>
  <si>
    <t>Hong Kong</t>
  </si>
  <si>
    <t>INTERNATIONAL TOP COUNTRIES $</t>
  </si>
  <si>
    <t>INCOME SOURCE $</t>
  </si>
  <si>
    <t>Malta</t>
  </si>
  <si>
    <t>Order</t>
  </si>
  <si>
    <t>Month</t>
  </si>
  <si>
    <t>Italy</t>
  </si>
  <si>
    <t>Norway</t>
  </si>
  <si>
    <t>Austria</t>
  </si>
  <si>
    <t>Spain</t>
  </si>
  <si>
    <t>Columbia</t>
  </si>
  <si>
    <t>The numbers in the table below are FICTICIOUS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</si>
</sst>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66FF"/>
      <name val="Aptos Narrow"/>
      <family val="2"/>
      <scheme val="minor"/>
    </font>
    <font>
      <b/>
      <sz val="11"/>
      <color rgb="FFFF66FF"/>
      <name val="Aptos Narrow"/>
      <family val="2"/>
      <scheme val="minor"/>
    </font>
    <font>
      <b/>
      <sz val="16"/>
      <color rgb="FF9933FF"/>
      <name val="Aptos Narrow"/>
      <family val="2"/>
      <scheme val="minor"/>
    </font>
    <font>
      <b/>
      <sz val="16"/>
      <color theme="4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933FF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5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 indent="1"/>
    </xf>
    <xf numFmtId="0" fontId="3" fillId="0" borderId="1" xfId="0" applyFont="1" applyBorder="1" applyAlignment="1">
      <alignment horizontal="right" indent="1"/>
    </xf>
    <xf numFmtId="0" fontId="4" fillId="0" borderId="1" xfId="0" applyFont="1" applyBorder="1" applyAlignment="1">
      <alignment horizontal="right" indent="1"/>
    </xf>
    <xf numFmtId="0" fontId="5" fillId="0" borderId="1" xfId="0" applyFont="1" applyBorder="1" applyAlignment="1">
      <alignment horizontal="right" indent="1"/>
    </xf>
    <xf numFmtId="0" fontId="1" fillId="0" borderId="1" xfId="0" applyFont="1" applyBorder="1" applyAlignment="1">
      <alignment horizontal="right" indent="1"/>
    </xf>
    <xf numFmtId="0" fontId="6" fillId="0" borderId="1" xfId="0" applyFont="1" applyBorder="1" applyAlignment="1">
      <alignment horizontal="right" indent="1"/>
    </xf>
    <xf numFmtId="0" fontId="7" fillId="0" borderId="1" xfId="0" applyFont="1" applyBorder="1" applyAlignment="1">
      <alignment horizontal="right" indent="1"/>
    </xf>
    <xf numFmtId="0" fontId="1" fillId="0" borderId="0" xfId="0" applyFont="1"/>
    <xf numFmtId="1" fontId="1" fillId="0" borderId="0" xfId="0" applyNumberFormat="1" applyFont="1"/>
    <xf numFmtId="0" fontId="8" fillId="2" borderId="0" xfId="0" applyFont="1" applyFill="1" applyAlignment="1">
      <alignment horizontal="center" wrapText="1"/>
    </xf>
    <xf numFmtId="0" fontId="9" fillId="3" borderId="3" xfId="0" applyFont="1" applyFill="1" applyBorder="1" applyAlignment="1">
      <alignment wrapText="1"/>
    </xf>
    <xf numFmtId="0" fontId="3" fillId="4" borderId="4" xfId="0" applyFont="1" applyFill="1" applyBorder="1" applyAlignment="1">
      <alignment horizontal="left" indent="1"/>
    </xf>
    <xf numFmtId="17" fontId="0" fillId="0" borderId="0" xfId="0" applyNumberFormat="1"/>
    <xf numFmtId="1" fontId="10" fillId="0" borderId="0" xfId="0" applyNumberFormat="1" applyFont="1"/>
    <xf numFmtId="1" fontId="10" fillId="4" borderId="3" xfId="0" applyNumberFormat="1" applyFont="1" applyFill="1" applyBorder="1"/>
    <xf numFmtId="0" fontId="3" fillId="4" borderId="5" xfId="0" applyFont="1" applyFill="1" applyBorder="1" applyAlignment="1">
      <alignment horizontal="left" indent="1"/>
    </xf>
    <xf numFmtId="0" fontId="9" fillId="3" borderId="2" xfId="0" applyFont="1" applyFill="1" applyBorder="1" applyAlignment="1">
      <alignment horizontal="left" wrapText="1"/>
    </xf>
    <xf numFmtId="0" fontId="9" fillId="6" borderId="0" xfId="0" applyFont="1" applyFill="1"/>
    <xf numFmtId="0" fontId="9" fillId="6" borderId="0" xfId="0" applyFont="1" applyFill="1" applyAlignment="1">
      <alignment horizontal="left" wrapText="1"/>
    </xf>
    <xf numFmtId="0" fontId="9" fillId="5" borderId="0" xfId="0" applyFont="1" applyFill="1" applyAlignment="1">
      <alignment horizontal="left"/>
    </xf>
    <xf numFmtId="0" fontId="9" fillId="5" borderId="0" xfId="0" applyFont="1" applyFill="1" applyAlignment="1">
      <alignment horizontal="left" wrapText="1"/>
    </xf>
    <xf numFmtId="0" fontId="9" fillId="5" borderId="0" xfId="0" applyFont="1" applyFill="1" applyAlignment="1">
      <alignment horizontal="center" wrapText="1"/>
    </xf>
    <xf numFmtId="1" fontId="10" fillId="4" borderId="6" xfId="0" applyNumberFormat="1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2" fontId="1" fillId="0" borderId="0" xfId="0" applyNumberFormat="1" applyFont="1"/>
  </cellXfs>
  <cellStyles count="1">
    <cellStyle name="Normal" xfId="0" builtinId="0"/>
  </cellStyles>
  <dxfs count="18">
    <dxf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4" tint="0.39997558519241921"/>
        </left>
        <right/>
        <top style="thin">
          <color theme="5" tint="0.39997558519241921"/>
        </top>
        <bottom/>
        <vertical/>
        <horizontal/>
      </border>
    </dxf>
    <dxf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66FF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66FF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66FF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66FF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66FF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66FF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66FF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66FF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66FF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66FF"/>
        <name val="Aptos Narrow"/>
        <family val="2"/>
        <scheme val="minor"/>
      </font>
      <numFmt numFmtId="1" formatCode="0"/>
    </dxf>
    <dxf>
      <alignment horizontal="right" vertical="bottom" textRotation="0" wrapText="0" indent="0" justifyLastLine="0" shrinkToFit="0" readingOrder="0"/>
    </dxf>
    <dxf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66FF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0D5D883A-5464-420A-94F2-F3EE3DC2CFE9}"/>
  </tableStyles>
  <colors>
    <mruColors>
      <color rgb="FFFF66FF"/>
      <color rgb="FF9933FF"/>
      <color rgb="FFFFE1E1"/>
      <color rgb="FFFFD9D9"/>
      <color rgb="FFFF9FFF"/>
      <color rgb="FFB265FF"/>
      <color rgb="FFC489FF"/>
      <color rgb="FFE6CDFF"/>
      <color rgb="FFCC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629AECF-387D-4743-B3B5-C066681F441B}" name="Table11" displayName="Table11" ref="A6:D247" totalsRowShown="0">
  <autoFilter ref="A6:D247" xr:uid="{D629AECF-387D-4743-B3B5-C066681F441B}"/>
  <tableColumns count="4">
    <tableColumn id="1" xr3:uid="{76CE1558-24A3-4B6F-9E22-A4E54F1A7C2A}" name="Month" dataDxfId="2"/>
    <tableColumn id="2" xr3:uid="{71028898-5408-4983-9F19-B04A71785D12}" name="Order"/>
    <tableColumn id="3" xr3:uid="{E4BD5428-12A8-4B8C-82D0-6450AEDB1B32}" name="Country" dataDxfId="1"/>
    <tableColumn id="4" xr3:uid="{0B8975C6-D70A-47BC-8233-D9F58F265DAF}" name="Total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F52E224-9DD9-4E26-ADDE-9B68639CD90C}" name="Table12" displayName="Table12" ref="B4:N25" totalsRowShown="0" headerRowDxfId="17" dataDxfId="16">
  <autoFilter ref="B4:N25" xr:uid="{EF52E224-9DD9-4E26-ADDE-9B68639CD90C}"/>
  <tableColumns count="13">
    <tableColumn id="1" xr3:uid="{A74ACC04-EA08-47F4-9631-61FDF988D298}" name="Month" dataDxfId="15"/>
    <tableColumn id="2" xr3:uid="{E88A297A-D0D0-4D05-9676-DF7E16B0AC89}" name="Country" dataDxfId="14"/>
    <tableColumn id="3" xr3:uid="{E1E5401B-2747-4DB8-998E-2FB9ACBD80ED}" name="Licencing" dataDxfId="13"/>
    <tableColumn id="4" xr3:uid="{5150F97A-B5B3-43F0-92DE-2EF758590936}" name="Marketing Support" dataDxfId="12"/>
    <tableColumn id="5" xr3:uid="{2E5A97E9-095D-4C2F-951E-CF4E06A86E42}" name="Other" dataDxfId="11"/>
    <tableColumn id="6" xr3:uid="{D3D38F3D-8474-4C5B-A0D5-6253FA362361}" name="Product Sales" dataDxfId="10"/>
    <tableColumn id="7" xr3:uid="{7F951C34-F4CD-48CA-A54E-39D3888B2DCE}" name="Shipping" dataDxfId="9"/>
    <tableColumn id="8" xr3:uid="{041F4E2D-0DD2-4041-9416-23C61C60DE4E}" name="Apple" dataDxfId="8"/>
    <tableColumn id="9" xr3:uid="{943449DC-7E7B-4006-A694-826D65A4A07E}" name="Google" dataDxfId="7"/>
    <tableColumn id="10" xr3:uid="{029B4DD1-00B9-42E4-8CDB-846B71CC940B}" name="Website (Stripe)" dataDxfId="6"/>
    <tableColumn id="11" xr3:uid="{16589B7B-F445-4623-BA34-C90AE8548F42}" name="Invoices" dataDxfId="5"/>
    <tableColumn id="12" xr3:uid="{4700233C-5A2A-4C84-90C9-EC4748A424B9}" name="Resellers" dataDxfId="4"/>
    <tableColumn id="13" xr3:uid="{6D2DD4C7-C6E6-487E-B40F-0B542CC4BC92}" name="Total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5A58-3339-40A2-AFBA-08861E4A952A}">
  <dimension ref="A1:D247"/>
  <sheetViews>
    <sheetView tabSelected="1" workbookViewId="0">
      <selection activeCell="J4" sqref="J4"/>
    </sheetView>
  </sheetViews>
  <sheetFormatPr defaultRowHeight="14.4" x14ac:dyDescent="0.3"/>
  <cols>
    <col min="1" max="2" width="10.33203125" customWidth="1"/>
    <col min="3" max="3" width="21.88671875" customWidth="1"/>
    <col min="7" max="7" width="10.33203125" customWidth="1"/>
    <col min="8" max="8" width="9.33203125" customWidth="1"/>
    <col min="9" max="9" width="10.77734375" customWidth="1"/>
    <col min="10" max="10" width="18.109375" customWidth="1"/>
    <col min="12" max="12" width="14.33203125" customWidth="1"/>
    <col min="13" max="13" width="10.21875" customWidth="1"/>
    <col min="16" max="16" width="16.5546875" customWidth="1"/>
    <col min="17" max="17" width="9.77734375" customWidth="1"/>
    <col min="18" max="18" width="10.5546875" customWidth="1"/>
  </cols>
  <sheetData>
    <row r="1" spans="1:4" ht="21" x14ac:dyDescent="0.4">
      <c r="A1" s="27" t="s">
        <v>34</v>
      </c>
    </row>
    <row r="4" spans="1:4" x14ac:dyDescent="0.3">
      <c r="A4" s="25" t="s">
        <v>44</v>
      </c>
    </row>
    <row r="6" spans="1:4" x14ac:dyDescent="0.3">
      <c r="A6" s="19" t="s">
        <v>38</v>
      </c>
      <c r="B6" s="20" t="s">
        <v>37</v>
      </c>
      <c r="C6" s="18" t="s">
        <v>15</v>
      </c>
      <c r="D6" s="12" t="s">
        <v>16</v>
      </c>
    </row>
    <row r="8" spans="1:4" x14ac:dyDescent="0.3">
      <c r="A8" s="14">
        <v>45474</v>
      </c>
      <c r="B8" s="2">
        <v>1</v>
      </c>
      <c r="C8" s="13" t="s">
        <v>1</v>
      </c>
      <c r="D8" s="16">
        <v>3600</v>
      </c>
    </row>
    <row r="9" spans="1:4" x14ac:dyDescent="0.3">
      <c r="A9" s="14">
        <v>45474</v>
      </c>
      <c r="B9" s="3">
        <v>2</v>
      </c>
      <c r="C9" s="17" t="s">
        <v>2</v>
      </c>
      <c r="D9" s="24">
        <v>23000</v>
      </c>
    </row>
    <row r="10" spans="1:4" x14ac:dyDescent="0.3">
      <c r="A10" s="14">
        <v>45474</v>
      </c>
      <c r="B10" s="4">
        <v>3</v>
      </c>
      <c r="C10" s="17" t="s">
        <v>3</v>
      </c>
      <c r="D10" s="24">
        <v>3000</v>
      </c>
    </row>
    <row r="11" spans="1:4" x14ac:dyDescent="0.3">
      <c r="A11" s="14">
        <v>45474</v>
      </c>
      <c r="B11" s="5">
        <v>4</v>
      </c>
      <c r="C11" s="17" t="s">
        <v>4</v>
      </c>
      <c r="D11" s="24">
        <v>2500</v>
      </c>
    </row>
    <row r="12" spans="1:4" x14ac:dyDescent="0.3">
      <c r="A12" s="14">
        <v>45474</v>
      </c>
      <c r="B12" s="3">
        <v>5</v>
      </c>
      <c r="C12" s="17" t="s">
        <v>5</v>
      </c>
      <c r="D12" s="24">
        <v>1500</v>
      </c>
    </row>
    <row r="13" spans="1:4" x14ac:dyDescent="0.3">
      <c r="A13" s="14">
        <v>45474</v>
      </c>
      <c r="B13" s="2">
        <v>6</v>
      </c>
      <c r="C13" s="17" t="s">
        <v>6</v>
      </c>
      <c r="D13" s="24">
        <v>1100</v>
      </c>
    </row>
    <row r="14" spans="1:4" x14ac:dyDescent="0.3">
      <c r="A14" s="14">
        <v>45474</v>
      </c>
      <c r="B14" s="4">
        <v>7</v>
      </c>
      <c r="C14" s="17" t="s">
        <v>7</v>
      </c>
      <c r="D14" s="24">
        <v>800</v>
      </c>
    </row>
    <row r="15" spans="1:4" x14ac:dyDescent="0.3">
      <c r="A15" s="14">
        <v>45474</v>
      </c>
      <c r="B15" s="6">
        <v>8</v>
      </c>
      <c r="C15" s="17" t="s">
        <v>25</v>
      </c>
      <c r="D15" s="24">
        <v>600</v>
      </c>
    </row>
    <row r="16" spans="1:4" x14ac:dyDescent="0.3">
      <c r="A16" s="14">
        <v>45474</v>
      </c>
      <c r="B16" s="6">
        <v>9</v>
      </c>
      <c r="C16" s="17" t="s">
        <v>32</v>
      </c>
      <c r="D16" s="24">
        <v>400</v>
      </c>
    </row>
    <row r="17" spans="1:4" x14ac:dyDescent="0.3">
      <c r="A17" s="14">
        <v>45474</v>
      </c>
      <c r="B17" s="7">
        <v>10</v>
      </c>
      <c r="C17" s="17" t="s">
        <v>36</v>
      </c>
      <c r="D17" s="24">
        <v>100</v>
      </c>
    </row>
    <row r="18" spans="1:4" x14ac:dyDescent="0.3">
      <c r="A18" s="14">
        <v>45474</v>
      </c>
      <c r="B18" s="4">
        <v>11</v>
      </c>
      <c r="C18" s="17" t="s">
        <v>10</v>
      </c>
      <c r="D18" s="24">
        <v>300</v>
      </c>
    </row>
    <row r="19" spans="1:4" x14ac:dyDescent="0.3">
      <c r="A19" s="14">
        <v>45474</v>
      </c>
      <c r="C19" s="9" t="s">
        <v>16</v>
      </c>
      <c r="D19" s="28">
        <f>SUM(D8:D18)</f>
        <v>36900</v>
      </c>
    </row>
    <row r="20" spans="1:4" x14ac:dyDescent="0.3">
      <c r="A20" s="14">
        <v>45505</v>
      </c>
      <c r="B20" s="2">
        <v>1</v>
      </c>
      <c r="C20" s="17" t="s">
        <v>2</v>
      </c>
      <c r="D20" s="24">
        <v>16000</v>
      </c>
    </row>
    <row r="21" spans="1:4" x14ac:dyDescent="0.3">
      <c r="A21" s="14">
        <v>45505</v>
      </c>
      <c r="B21" s="3">
        <v>2</v>
      </c>
      <c r="C21" s="17" t="s">
        <v>1</v>
      </c>
      <c r="D21" s="24">
        <v>3600</v>
      </c>
    </row>
    <row r="22" spans="1:4" x14ac:dyDescent="0.3">
      <c r="A22" s="14">
        <v>45505</v>
      </c>
      <c r="B22" s="4">
        <v>3</v>
      </c>
      <c r="C22" s="13" t="s">
        <v>5</v>
      </c>
      <c r="D22" s="16">
        <v>2500</v>
      </c>
    </row>
    <row r="23" spans="1:4" x14ac:dyDescent="0.3">
      <c r="A23" s="14">
        <v>45505</v>
      </c>
      <c r="B23" s="5">
        <v>4</v>
      </c>
      <c r="C23" s="17" t="s">
        <v>3</v>
      </c>
      <c r="D23" s="24">
        <v>1600</v>
      </c>
    </row>
    <row r="24" spans="1:4" x14ac:dyDescent="0.3">
      <c r="A24" s="14">
        <v>45505</v>
      </c>
      <c r="B24" s="3">
        <v>5</v>
      </c>
      <c r="C24" s="17" t="s">
        <v>4</v>
      </c>
      <c r="D24" s="24">
        <v>1200</v>
      </c>
    </row>
    <row r="25" spans="1:4" x14ac:dyDescent="0.3">
      <c r="A25" s="14">
        <v>45505</v>
      </c>
      <c r="B25" s="2">
        <v>6</v>
      </c>
      <c r="C25" s="17" t="s">
        <v>8</v>
      </c>
      <c r="D25" s="24">
        <v>800</v>
      </c>
    </row>
    <row r="26" spans="1:4" x14ac:dyDescent="0.3">
      <c r="A26" s="14">
        <v>45505</v>
      </c>
      <c r="B26" s="4">
        <v>7</v>
      </c>
      <c r="C26" s="17" t="s">
        <v>6</v>
      </c>
      <c r="D26" s="24">
        <v>600</v>
      </c>
    </row>
    <row r="27" spans="1:4" x14ac:dyDescent="0.3">
      <c r="A27" s="14">
        <v>45505</v>
      </c>
      <c r="B27" s="6">
        <v>8</v>
      </c>
      <c r="C27" s="17" t="s">
        <v>29</v>
      </c>
      <c r="D27" s="24">
        <v>300</v>
      </c>
    </row>
    <row r="28" spans="1:4" x14ac:dyDescent="0.3">
      <c r="A28" s="14">
        <v>45505</v>
      </c>
      <c r="B28" s="6">
        <v>9</v>
      </c>
      <c r="C28" s="17" t="s">
        <v>39</v>
      </c>
      <c r="D28" s="24">
        <v>100</v>
      </c>
    </row>
    <row r="29" spans="1:4" x14ac:dyDescent="0.3">
      <c r="A29" s="14">
        <v>45505</v>
      </c>
      <c r="B29" s="7">
        <v>10</v>
      </c>
      <c r="C29" s="17" t="s">
        <v>40</v>
      </c>
      <c r="D29" s="24">
        <v>100</v>
      </c>
    </row>
    <row r="30" spans="1:4" x14ac:dyDescent="0.3">
      <c r="A30" s="14">
        <v>45505</v>
      </c>
      <c r="B30" s="4">
        <v>11</v>
      </c>
      <c r="C30" s="17" t="s">
        <v>10</v>
      </c>
      <c r="D30" s="24">
        <v>2000</v>
      </c>
    </row>
    <row r="31" spans="1:4" x14ac:dyDescent="0.3">
      <c r="A31" s="14">
        <v>45505</v>
      </c>
      <c r="C31" s="9" t="s">
        <v>16</v>
      </c>
      <c r="D31" s="28">
        <f>SUM(D20:D30)</f>
        <v>28800</v>
      </c>
    </row>
    <row r="32" spans="1:4" x14ac:dyDescent="0.3">
      <c r="A32" s="14">
        <v>45536</v>
      </c>
      <c r="B32" s="2">
        <v>1</v>
      </c>
      <c r="C32" s="17" t="s">
        <v>2</v>
      </c>
      <c r="D32" s="24">
        <v>23000</v>
      </c>
    </row>
    <row r="33" spans="1:4" x14ac:dyDescent="0.3">
      <c r="A33" s="14">
        <v>45536</v>
      </c>
      <c r="B33" s="3">
        <v>2</v>
      </c>
      <c r="C33" s="17" t="s">
        <v>1</v>
      </c>
      <c r="D33" s="24">
        <v>3600</v>
      </c>
    </row>
    <row r="34" spans="1:4" x14ac:dyDescent="0.3">
      <c r="A34" s="14">
        <v>45536</v>
      </c>
      <c r="B34" s="4">
        <v>3</v>
      </c>
      <c r="C34" s="13" t="s">
        <v>5</v>
      </c>
      <c r="D34" s="16">
        <v>2200</v>
      </c>
    </row>
    <row r="35" spans="1:4" x14ac:dyDescent="0.3">
      <c r="A35" s="14">
        <v>45536</v>
      </c>
      <c r="B35" s="5">
        <v>4</v>
      </c>
      <c r="C35" s="17" t="s">
        <v>10</v>
      </c>
      <c r="D35" s="24">
        <v>1900</v>
      </c>
    </row>
    <row r="36" spans="1:4" x14ac:dyDescent="0.3">
      <c r="A36" s="14">
        <v>45536</v>
      </c>
      <c r="B36" s="3">
        <v>5</v>
      </c>
      <c r="C36" s="17" t="s">
        <v>4</v>
      </c>
      <c r="D36" s="24">
        <v>1500</v>
      </c>
    </row>
    <row r="37" spans="1:4" x14ac:dyDescent="0.3">
      <c r="A37" s="14">
        <v>45536</v>
      </c>
      <c r="B37" s="2">
        <v>6</v>
      </c>
      <c r="C37" s="17" t="s">
        <v>6</v>
      </c>
      <c r="D37" s="24">
        <v>1000</v>
      </c>
    </row>
    <row r="38" spans="1:4" x14ac:dyDescent="0.3">
      <c r="A38" s="14">
        <v>45536</v>
      </c>
      <c r="B38" s="4">
        <v>7</v>
      </c>
      <c r="C38" s="17" t="s">
        <v>3</v>
      </c>
      <c r="D38" s="24">
        <v>800</v>
      </c>
    </row>
    <row r="39" spans="1:4" x14ac:dyDescent="0.3">
      <c r="A39" s="14">
        <v>45536</v>
      </c>
      <c r="B39" s="6">
        <v>8</v>
      </c>
      <c r="C39" s="17" t="s">
        <v>11</v>
      </c>
      <c r="D39" s="24">
        <v>500</v>
      </c>
    </row>
    <row r="40" spans="1:4" x14ac:dyDescent="0.3">
      <c r="A40" s="14">
        <v>45536</v>
      </c>
      <c r="B40" s="6">
        <v>9</v>
      </c>
      <c r="C40" s="17" t="s">
        <v>29</v>
      </c>
      <c r="D40" s="24">
        <v>300</v>
      </c>
    </row>
    <row r="41" spans="1:4" x14ac:dyDescent="0.3">
      <c r="A41" s="14">
        <v>45536</v>
      </c>
      <c r="B41" s="7">
        <v>10</v>
      </c>
      <c r="C41" s="17" t="s">
        <v>8</v>
      </c>
      <c r="D41" s="24">
        <v>300</v>
      </c>
    </row>
    <row r="42" spans="1:4" x14ac:dyDescent="0.3">
      <c r="A42" s="14">
        <v>45536</v>
      </c>
      <c r="B42" s="4">
        <v>11</v>
      </c>
      <c r="C42" s="17" t="s">
        <v>7</v>
      </c>
      <c r="D42" s="24">
        <v>100</v>
      </c>
    </row>
    <row r="43" spans="1:4" x14ac:dyDescent="0.3">
      <c r="A43" s="14">
        <v>45536</v>
      </c>
      <c r="C43" s="9" t="s">
        <v>16</v>
      </c>
      <c r="D43" s="28">
        <f>SUM(D32:D42)</f>
        <v>35200</v>
      </c>
    </row>
    <row r="44" spans="1:4" x14ac:dyDescent="0.3">
      <c r="A44" s="14">
        <v>45566</v>
      </c>
      <c r="B44" s="2">
        <v>1</v>
      </c>
      <c r="C44" s="17" t="s">
        <v>2</v>
      </c>
      <c r="D44" s="24">
        <v>15000</v>
      </c>
    </row>
    <row r="45" spans="1:4" x14ac:dyDescent="0.3">
      <c r="A45" s="14">
        <v>45566</v>
      </c>
      <c r="B45" s="3">
        <v>2</v>
      </c>
      <c r="C45" s="17" t="s">
        <v>10</v>
      </c>
      <c r="D45" s="24">
        <v>4000</v>
      </c>
    </row>
    <row r="46" spans="1:4" x14ac:dyDescent="0.3">
      <c r="A46" s="14">
        <v>45566</v>
      </c>
      <c r="B46" s="4">
        <v>3</v>
      </c>
      <c r="C46" s="13" t="s">
        <v>1</v>
      </c>
      <c r="D46" s="16">
        <v>3500</v>
      </c>
    </row>
    <row r="47" spans="1:4" x14ac:dyDescent="0.3">
      <c r="A47" s="14">
        <v>45566</v>
      </c>
      <c r="B47" s="5">
        <v>4</v>
      </c>
      <c r="C47" s="17" t="s">
        <v>5</v>
      </c>
      <c r="D47" s="24">
        <v>3000</v>
      </c>
    </row>
    <row r="48" spans="1:4" x14ac:dyDescent="0.3">
      <c r="A48" s="14">
        <v>45566</v>
      </c>
      <c r="B48" s="3">
        <v>5</v>
      </c>
      <c r="C48" s="17" t="s">
        <v>4</v>
      </c>
      <c r="D48" s="24">
        <v>2500</v>
      </c>
    </row>
    <row r="49" spans="1:4" x14ac:dyDescent="0.3">
      <c r="A49" s="14">
        <v>45566</v>
      </c>
      <c r="B49" s="2">
        <v>6</v>
      </c>
      <c r="C49" s="17" t="s">
        <v>11</v>
      </c>
      <c r="D49" s="24">
        <v>1200</v>
      </c>
    </row>
    <row r="50" spans="1:4" x14ac:dyDescent="0.3">
      <c r="A50" s="14">
        <v>45566</v>
      </c>
      <c r="B50" s="4">
        <v>7</v>
      </c>
      <c r="C50" s="17" t="s">
        <v>3</v>
      </c>
      <c r="D50" s="24">
        <v>900</v>
      </c>
    </row>
    <row r="51" spans="1:4" x14ac:dyDescent="0.3">
      <c r="A51" s="14">
        <v>45566</v>
      </c>
      <c r="B51" s="6">
        <v>8</v>
      </c>
      <c r="C51" s="17" t="s">
        <v>6</v>
      </c>
      <c r="D51" s="24">
        <v>600</v>
      </c>
    </row>
    <row r="52" spans="1:4" x14ac:dyDescent="0.3">
      <c r="A52" s="14">
        <v>45566</v>
      </c>
      <c r="B52" s="6">
        <v>9</v>
      </c>
      <c r="C52" s="17" t="s">
        <v>41</v>
      </c>
      <c r="D52" s="24">
        <v>500</v>
      </c>
    </row>
    <row r="53" spans="1:4" x14ac:dyDescent="0.3">
      <c r="A53" s="14">
        <v>45566</v>
      </c>
      <c r="B53" s="7">
        <v>10</v>
      </c>
      <c r="C53" s="17" t="s">
        <v>9</v>
      </c>
      <c r="D53" s="24">
        <v>400</v>
      </c>
    </row>
    <row r="54" spans="1:4" x14ac:dyDescent="0.3">
      <c r="A54" s="14">
        <v>45566</v>
      </c>
      <c r="B54" s="4">
        <v>11</v>
      </c>
      <c r="C54" s="17" t="s">
        <v>8</v>
      </c>
      <c r="D54" s="24">
        <v>300</v>
      </c>
    </row>
    <row r="55" spans="1:4" x14ac:dyDescent="0.3">
      <c r="A55" s="14">
        <v>45566</v>
      </c>
      <c r="C55" s="9" t="s">
        <v>16</v>
      </c>
      <c r="D55" s="28">
        <f>SUM(D44:D54)</f>
        <v>31900</v>
      </c>
    </row>
    <row r="56" spans="1:4" x14ac:dyDescent="0.3">
      <c r="A56" s="14">
        <v>45597</v>
      </c>
      <c r="B56" s="2">
        <v>1</v>
      </c>
      <c r="C56" s="17" t="s">
        <v>1</v>
      </c>
      <c r="D56" s="24">
        <v>3000</v>
      </c>
    </row>
    <row r="57" spans="1:4" x14ac:dyDescent="0.3">
      <c r="A57" s="14">
        <v>45597</v>
      </c>
      <c r="B57" s="3">
        <v>2</v>
      </c>
      <c r="C57" s="17" t="s">
        <v>2</v>
      </c>
      <c r="D57" s="24">
        <v>17000</v>
      </c>
    </row>
    <row r="58" spans="1:4" x14ac:dyDescent="0.3">
      <c r="A58" s="14">
        <v>45597</v>
      </c>
      <c r="B58" s="4">
        <v>3</v>
      </c>
      <c r="C58" s="13" t="s">
        <v>4</v>
      </c>
      <c r="D58" s="16">
        <v>1500</v>
      </c>
    </row>
    <row r="59" spans="1:4" x14ac:dyDescent="0.3">
      <c r="A59" s="14">
        <v>45597</v>
      </c>
      <c r="B59" s="5">
        <v>4</v>
      </c>
      <c r="C59" s="17" t="s">
        <v>8</v>
      </c>
      <c r="D59" s="24">
        <v>1200</v>
      </c>
    </row>
    <row r="60" spans="1:4" x14ac:dyDescent="0.3">
      <c r="A60" s="14">
        <v>45597</v>
      </c>
      <c r="B60" s="3">
        <v>5</v>
      </c>
      <c r="C60" s="17" t="s">
        <v>5</v>
      </c>
      <c r="D60" s="24">
        <v>1200</v>
      </c>
    </row>
    <row r="61" spans="1:4" x14ac:dyDescent="0.3">
      <c r="A61" s="14">
        <v>45597</v>
      </c>
      <c r="B61" s="2">
        <v>6</v>
      </c>
      <c r="C61" s="17" t="s">
        <v>3</v>
      </c>
      <c r="D61" s="24">
        <v>1000</v>
      </c>
    </row>
    <row r="62" spans="1:4" x14ac:dyDescent="0.3">
      <c r="A62" s="14">
        <v>45597</v>
      </c>
      <c r="B62" s="4">
        <v>7</v>
      </c>
      <c r="C62" s="17" t="s">
        <v>6</v>
      </c>
      <c r="D62" s="24">
        <v>600</v>
      </c>
    </row>
    <row r="63" spans="1:4" x14ac:dyDescent="0.3">
      <c r="A63" s="14">
        <v>45597</v>
      </c>
      <c r="B63" s="6">
        <v>8</v>
      </c>
      <c r="C63" s="17" t="s">
        <v>7</v>
      </c>
      <c r="D63" s="24">
        <v>150</v>
      </c>
    </row>
    <row r="64" spans="1:4" x14ac:dyDescent="0.3">
      <c r="A64" s="14">
        <v>45597</v>
      </c>
      <c r="B64" s="6">
        <v>9</v>
      </c>
      <c r="C64" s="17" t="s">
        <v>29</v>
      </c>
      <c r="D64" s="24">
        <v>150</v>
      </c>
    </row>
    <row r="65" spans="1:4" x14ac:dyDescent="0.3">
      <c r="A65" s="14">
        <v>45597</v>
      </c>
      <c r="B65" s="7">
        <v>10</v>
      </c>
      <c r="C65" s="17" t="s">
        <v>42</v>
      </c>
      <c r="D65" s="24">
        <v>100</v>
      </c>
    </row>
    <row r="66" spans="1:4" x14ac:dyDescent="0.3">
      <c r="A66" s="14">
        <v>45597</v>
      </c>
      <c r="B66" s="4">
        <v>11</v>
      </c>
      <c r="C66" s="17" t="s">
        <v>10</v>
      </c>
      <c r="D66" s="24">
        <v>1500</v>
      </c>
    </row>
    <row r="67" spans="1:4" x14ac:dyDescent="0.3">
      <c r="A67" s="14">
        <v>45597</v>
      </c>
      <c r="C67" s="9" t="s">
        <v>16</v>
      </c>
      <c r="D67" s="28">
        <f>SUM(D56:D66)</f>
        <v>27400</v>
      </c>
    </row>
    <row r="68" spans="1:4" x14ac:dyDescent="0.3">
      <c r="A68" s="14">
        <v>45627</v>
      </c>
      <c r="B68" s="2">
        <v>1</v>
      </c>
      <c r="C68" s="17" t="s">
        <v>2</v>
      </c>
      <c r="D68" s="24">
        <v>33000</v>
      </c>
    </row>
    <row r="69" spans="1:4" x14ac:dyDescent="0.3">
      <c r="A69" s="14">
        <v>45627</v>
      </c>
      <c r="B69" s="3">
        <v>2</v>
      </c>
      <c r="C69" s="17" t="s">
        <v>1</v>
      </c>
      <c r="D69" s="24">
        <v>5500</v>
      </c>
    </row>
    <row r="70" spans="1:4" x14ac:dyDescent="0.3">
      <c r="A70" s="14">
        <v>45627</v>
      </c>
      <c r="B70" s="4">
        <v>3</v>
      </c>
      <c r="C70" s="13" t="s">
        <v>5</v>
      </c>
      <c r="D70" s="16">
        <v>3000</v>
      </c>
    </row>
    <row r="71" spans="1:4" x14ac:dyDescent="0.3">
      <c r="A71" s="14">
        <v>45627</v>
      </c>
      <c r="B71" s="5">
        <v>4</v>
      </c>
      <c r="C71" s="17" t="s">
        <v>4</v>
      </c>
      <c r="D71" s="24">
        <v>1600</v>
      </c>
    </row>
    <row r="72" spans="1:4" x14ac:dyDescent="0.3">
      <c r="A72" s="14">
        <v>45627</v>
      </c>
      <c r="B72" s="3">
        <v>5</v>
      </c>
      <c r="C72" s="17" t="s">
        <v>11</v>
      </c>
      <c r="D72" s="24">
        <v>1000</v>
      </c>
    </row>
    <row r="73" spans="1:4" x14ac:dyDescent="0.3">
      <c r="A73" s="14">
        <v>45627</v>
      </c>
      <c r="B73" s="2">
        <v>6</v>
      </c>
      <c r="C73" s="17" t="s">
        <v>3</v>
      </c>
      <c r="D73" s="24">
        <v>600</v>
      </c>
    </row>
    <row r="74" spans="1:4" x14ac:dyDescent="0.3">
      <c r="A74" s="14">
        <v>45627</v>
      </c>
      <c r="B74" s="4">
        <v>7</v>
      </c>
      <c r="C74" s="17" t="s">
        <v>6</v>
      </c>
      <c r="D74" s="24">
        <v>450</v>
      </c>
    </row>
    <row r="75" spans="1:4" x14ac:dyDescent="0.3">
      <c r="A75" s="14">
        <v>45627</v>
      </c>
      <c r="B75" s="6">
        <v>8</v>
      </c>
      <c r="C75" s="17" t="s">
        <v>40</v>
      </c>
      <c r="D75" s="24">
        <v>430</v>
      </c>
    </row>
    <row r="76" spans="1:4" x14ac:dyDescent="0.3">
      <c r="A76" s="14">
        <v>45627</v>
      </c>
      <c r="B76" s="6">
        <v>9</v>
      </c>
      <c r="C76" s="17" t="s">
        <v>8</v>
      </c>
      <c r="D76" s="24">
        <v>300</v>
      </c>
    </row>
    <row r="77" spans="1:4" x14ac:dyDescent="0.3">
      <c r="A77" s="14">
        <v>45627</v>
      </c>
      <c r="B77" s="7">
        <v>10</v>
      </c>
      <c r="C77" s="17" t="s">
        <v>25</v>
      </c>
      <c r="D77" s="24">
        <v>300</v>
      </c>
    </row>
    <row r="78" spans="1:4" x14ac:dyDescent="0.3">
      <c r="A78" s="14">
        <v>45627</v>
      </c>
      <c r="B78" s="4">
        <v>11</v>
      </c>
      <c r="C78" s="17" t="s">
        <v>10</v>
      </c>
      <c r="D78" s="24">
        <v>1000</v>
      </c>
    </row>
    <row r="79" spans="1:4" x14ac:dyDescent="0.3">
      <c r="A79" s="14">
        <v>45627</v>
      </c>
      <c r="C79" s="9" t="s">
        <v>16</v>
      </c>
      <c r="D79" s="28">
        <f>SUM(D68:D78)</f>
        <v>47180</v>
      </c>
    </row>
    <row r="80" spans="1:4" x14ac:dyDescent="0.3">
      <c r="A80" s="14">
        <v>45658</v>
      </c>
      <c r="B80" s="2">
        <v>1</v>
      </c>
      <c r="C80" s="17" t="s">
        <v>2</v>
      </c>
      <c r="D80" s="24">
        <v>18000</v>
      </c>
    </row>
    <row r="81" spans="1:4" x14ac:dyDescent="0.3">
      <c r="A81" s="14">
        <v>45658</v>
      </c>
      <c r="B81" s="3">
        <v>2</v>
      </c>
      <c r="C81" s="17" t="s">
        <v>1</v>
      </c>
      <c r="D81" s="24">
        <v>4600</v>
      </c>
    </row>
    <row r="82" spans="1:4" x14ac:dyDescent="0.3">
      <c r="A82" s="14">
        <v>45658</v>
      </c>
      <c r="B82" s="4">
        <v>3</v>
      </c>
      <c r="C82" s="13" t="s">
        <v>4</v>
      </c>
      <c r="D82" s="16">
        <v>3800</v>
      </c>
    </row>
    <row r="83" spans="1:4" x14ac:dyDescent="0.3">
      <c r="A83" s="14">
        <v>45658</v>
      </c>
      <c r="B83" s="5">
        <v>4</v>
      </c>
      <c r="C83" s="17" t="s">
        <v>5</v>
      </c>
      <c r="D83" s="24">
        <v>2500</v>
      </c>
    </row>
    <row r="84" spans="1:4" x14ac:dyDescent="0.3">
      <c r="A84" s="14">
        <v>45658</v>
      </c>
      <c r="B84" s="3">
        <v>5</v>
      </c>
      <c r="C84" s="17" t="s">
        <v>3</v>
      </c>
      <c r="D84" s="24">
        <v>1800</v>
      </c>
    </row>
    <row r="85" spans="1:4" x14ac:dyDescent="0.3">
      <c r="A85" s="14">
        <v>45658</v>
      </c>
      <c r="B85" s="2">
        <v>6</v>
      </c>
      <c r="C85" s="17" t="s">
        <v>11</v>
      </c>
      <c r="D85" s="24">
        <v>1400</v>
      </c>
    </row>
    <row r="86" spans="1:4" x14ac:dyDescent="0.3">
      <c r="A86" s="14">
        <v>45658</v>
      </c>
      <c r="B86" s="4">
        <v>7</v>
      </c>
      <c r="C86" s="17" t="s">
        <v>6</v>
      </c>
      <c r="D86" s="24">
        <v>900</v>
      </c>
    </row>
    <row r="87" spans="1:4" x14ac:dyDescent="0.3">
      <c r="A87" s="14">
        <v>45658</v>
      </c>
      <c r="B87" s="6">
        <v>8</v>
      </c>
      <c r="C87" s="17" t="s">
        <v>33</v>
      </c>
      <c r="D87" s="24">
        <v>600</v>
      </c>
    </row>
    <row r="88" spans="1:4" x14ac:dyDescent="0.3">
      <c r="A88" s="14">
        <v>45658</v>
      </c>
      <c r="B88" s="6">
        <v>9</v>
      </c>
      <c r="C88" s="17" t="s">
        <v>31</v>
      </c>
      <c r="D88" s="24">
        <v>500</v>
      </c>
    </row>
    <row r="89" spans="1:4" x14ac:dyDescent="0.3">
      <c r="A89" s="14">
        <v>45658</v>
      </c>
      <c r="B89" s="7">
        <v>10</v>
      </c>
      <c r="C89" s="17" t="s">
        <v>43</v>
      </c>
      <c r="D89" s="24">
        <v>500</v>
      </c>
    </row>
    <row r="90" spans="1:4" x14ac:dyDescent="0.3">
      <c r="A90" s="14">
        <v>45658</v>
      </c>
      <c r="B90" s="4">
        <v>11</v>
      </c>
      <c r="C90" s="17" t="s">
        <v>10</v>
      </c>
      <c r="D90" s="24">
        <v>2000</v>
      </c>
    </row>
    <row r="91" spans="1:4" x14ac:dyDescent="0.3">
      <c r="A91" s="14">
        <v>45658</v>
      </c>
      <c r="C91" s="9" t="s">
        <v>16</v>
      </c>
      <c r="D91" s="28">
        <f>SUM(D80:D90)</f>
        <v>36600</v>
      </c>
    </row>
    <row r="92" spans="1:4" x14ac:dyDescent="0.3">
      <c r="A92" s="14">
        <v>45689</v>
      </c>
      <c r="B92" s="2">
        <v>1</v>
      </c>
      <c r="C92" s="17" t="s">
        <v>2</v>
      </c>
      <c r="D92" s="24">
        <v>18500</v>
      </c>
    </row>
    <row r="93" spans="1:4" x14ac:dyDescent="0.3">
      <c r="A93" s="14">
        <v>45689</v>
      </c>
      <c r="B93" s="3">
        <v>2</v>
      </c>
      <c r="C93" s="17" t="s">
        <v>5</v>
      </c>
      <c r="D93" s="24">
        <v>4000</v>
      </c>
    </row>
    <row r="94" spans="1:4" x14ac:dyDescent="0.3">
      <c r="A94" s="14">
        <v>45689</v>
      </c>
      <c r="B94" s="4">
        <v>3</v>
      </c>
      <c r="C94" s="13" t="s">
        <v>1</v>
      </c>
      <c r="D94" s="16">
        <v>3200</v>
      </c>
    </row>
    <row r="95" spans="1:4" x14ac:dyDescent="0.3">
      <c r="A95" s="14">
        <v>45689</v>
      </c>
      <c r="B95" s="5">
        <v>4</v>
      </c>
      <c r="C95" s="17" t="s">
        <v>23</v>
      </c>
      <c r="D95" s="24">
        <v>2800</v>
      </c>
    </row>
    <row r="96" spans="1:4" x14ac:dyDescent="0.3">
      <c r="A96" s="14">
        <v>45689</v>
      </c>
      <c r="B96" s="3">
        <v>5</v>
      </c>
      <c r="C96" s="17" t="s">
        <v>10</v>
      </c>
      <c r="D96" s="24">
        <v>2000</v>
      </c>
    </row>
    <row r="97" spans="1:4" x14ac:dyDescent="0.3">
      <c r="A97" s="14">
        <v>45689</v>
      </c>
      <c r="B97" s="2">
        <v>6</v>
      </c>
      <c r="C97" s="17" t="s">
        <v>24</v>
      </c>
      <c r="D97" s="24">
        <v>1600</v>
      </c>
    </row>
    <row r="98" spans="1:4" x14ac:dyDescent="0.3">
      <c r="A98" s="14">
        <v>45689</v>
      </c>
      <c r="B98" s="4">
        <v>7</v>
      </c>
      <c r="C98" s="17" t="s">
        <v>4</v>
      </c>
      <c r="D98" s="24">
        <v>1200</v>
      </c>
    </row>
    <row r="99" spans="1:4" x14ac:dyDescent="0.3">
      <c r="A99" s="14">
        <v>45689</v>
      </c>
      <c r="B99" s="6">
        <v>8</v>
      </c>
      <c r="C99" s="17" t="s">
        <v>3</v>
      </c>
      <c r="D99" s="24">
        <v>800</v>
      </c>
    </row>
    <row r="100" spans="1:4" x14ac:dyDescent="0.3">
      <c r="A100" s="14">
        <v>45689</v>
      </c>
      <c r="B100" s="6">
        <v>9</v>
      </c>
      <c r="C100" s="17" t="s">
        <v>6</v>
      </c>
      <c r="D100" s="24">
        <v>500</v>
      </c>
    </row>
    <row r="101" spans="1:4" x14ac:dyDescent="0.3">
      <c r="A101" s="14">
        <v>45689</v>
      </c>
      <c r="B101" s="7">
        <v>10</v>
      </c>
      <c r="C101" s="17" t="s">
        <v>30</v>
      </c>
      <c r="D101" s="24">
        <v>480</v>
      </c>
    </row>
    <row r="102" spans="1:4" x14ac:dyDescent="0.3">
      <c r="A102" s="14">
        <v>45689</v>
      </c>
      <c r="B102" s="4">
        <v>11</v>
      </c>
      <c r="C102" s="17" t="s">
        <v>9</v>
      </c>
      <c r="D102" s="24">
        <v>350</v>
      </c>
    </row>
    <row r="103" spans="1:4" x14ac:dyDescent="0.3">
      <c r="A103" s="14">
        <v>45689</v>
      </c>
      <c r="C103" s="9" t="s">
        <v>16</v>
      </c>
      <c r="D103" s="28">
        <f>SUM(D92:D102)</f>
        <v>35430</v>
      </c>
    </row>
    <row r="104" spans="1:4" x14ac:dyDescent="0.3">
      <c r="A104" s="14">
        <v>45717</v>
      </c>
      <c r="B104" s="2">
        <v>1</v>
      </c>
      <c r="C104" s="13" t="s">
        <v>2</v>
      </c>
      <c r="D104" s="16">
        <v>38000</v>
      </c>
    </row>
    <row r="105" spans="1:4" x14ac:dyDescent="0.3">
      <c r="A105" s="14">
        <v>45717</v>
      </c>
      <c r="B105" s="3">
        <v>2</v>
      </c>
      <c r="C105" s="13" t="s">
        <v>1</v>
      </c>
      <c r="D105" s="16">
        <v>3000</v>
      </c>
    </row>
    <row r="106" spans="1:4" x14ac:dyDescent="0.3">
      <c r="A106" s="14">
        <v>45717</v>
      </c>
      <c r="B106" s="4">
        <v>3</v>
      </c>
      <c r="C106" s="13" t="s">
        <v>10</v>
      </c>
      <c r="D106" s="16">
        <v>2500</v>
      </c>
    </row>
    <row r="107" spans="1:4" x14ac:dyDescent="0.3">
      <c r="A107" s="14">
        <v>45717</v>
      </c>
      <c r="B107" s="5">
        <v>4</v>
      </c>
      <c r="C107" s="13" t="s">
        <v>5</v>
      </c>
      <c r="D107" s="16">
        <v>1800</v>
      </c>
    </row>
    <row r="108" spans="1:4" x14ac:dyDescent="0.3">
      <c r="A108" s="14">
        <v>45717</v>
      </c>
      <c r="B108" s="3">
        <v>5</v>
      </c>
      <c r="C108" s="13" t="s">
        <v>4</v>
      </c>
      <c r="D108" s="16">
        <v>1750</v>
      </c>
    </row>
    <row r="109" spans="1:4" x14ac:dyDescent="0.3">
      <c r="A109" s="14">
        <v>45717</v>
      </c>
      <c r="B109" s="2">
        <v>6</v>
      </c>
      <c r="C109" s="13" t="s">
        <v>23</v>
      </c>
      <c r="D109" s="16">
        <v>1500</v>
      </c>
    </row>
    <row r="110" spans="1:4" x14ac:dyDescent="0.3">
      <c r="A110" s="14">
        <v>45717</v>
      </c>
      <c r="B110" s="4">
        <v>7</v>
      </c>
      <c r="C110" s="13" t="s">
        <v>24</v>
      </c>
      <c r="D110" s="16">
        <v>1200</v>
      </c>
    </row>
    <row r="111" spans="1:4" x14ac:dyDescent="0.3">
      <c r="A111" s="14">
        <v>45717</v>
      </c>
      <c r="B111" s="6">
        <v>8</v>
      </c>
      <c r="C111" s="13" t="s">
        <v>11</v>
      </c>
      <c r="D111" s="16">
        <v>400</v>
      </c>
    </row>
    <row r="112" spans="1:4" x14ac:dyDescent="0.3">
      <c r="A112" s="14">
        <v>45717</v>
      </c>
      <c r="B112" s="6">
        <v>9</v>
      </c>
      <c r="C112" s="13" t="s">
        <v>6</v>
      </c>
      <c r="D112" s="16">
        <v>350</v>
      </c>
    </row>
    <row r="113" spans="1:4" x14ac:dyDescent="0.3">
      <c r="A113" s="14">
        <v>45717</v>
      </c>
      <c r="B113" s="7">
        <v>10</v>
      </c>
      <c r="C113" s="13" t="s">
        <v>3</v>
      </c>
      <c r="D113" s="16">
        <v>300</v>
      </c>
    </row>
    <row r="114" spans="1:4" x14ac:dyDescent="0.3">
      <c r="A114" s="14">
        <v>45717</v>
      </c>
      <c r="B114" s="4">
        <v>11</v>
      </c>
      <c r="C114" s="13" t="s">
        <v>29</v>
      </c>
      <c r="D114" s="16">
        <v>200</v>
      </c>
    </row>
    <row r="115" spans="1:4" x14ac:dyDescent="0.3">
      <c r="A115" s="14">
        <v>45717</v>
      </c>
      <c r="C115" s="9" t="s">
        <v>16</v>
      </c>
      <c r="D115" s="28">
        <f>SUM(D104:D114)</f>
        <v>51000</v>
      </c>
    </row>
    <row r="116" spans="1:4" x14ac:dyDescent="0.3">
      <c r="A116" s="14">
        <v>45748</v>
      </c>
      <c r="B116" s="2">
        <v>1</v>
      </c>
      <c r="C116" s="13" t="s">
        <v>2</v>
      </c>
      <c r="D116" s="16">
        <v>26000</v>
      </c>
    </row>
    <row r="117" spans="1:4" x14ac:dyDescent="0.3">
      <c r="A117" s="14">
        <v>45748</v>
      </c>
      <c r="B117" s="3">
        <v>2</v>
      </c>
      <c r="C117" s="13" t="s">
        <v>1</v>
      </c>
      <c r="D117" s="16">
        <v>4500</v>
      </c>
    </row>
    <row r="118" spans="1:4" x14ac:dyDescent="0.3">
      <c r="A118" s="14">
        <v>45748</v>
      </c>
      <c r="B118" s="4">
        <v>3</v>
      </c>
      <c r="C118" s="13" t="s">
        <v>5</v>
      </c>
      <c r="D118" s="16">
        <v>3200</v>
      </c>
    </row>
    <row r="119" spans="1:4" x14ac:dyDescent="0.3">
      <c r="A119" s="14">
        <v>45748</v>
      </c>
      <c r="B119" s="5">
        <v>4</v>
      </c>
      <c r="C119" s="13" t="s">
        <v>23</v>
      </c>
      <c r="D119" s="16">
        <v>2000</v>
      </c>
    </row>
    <row r="120" spans="1:4" x14ac:dyDescent="0.3">
      <c r="A120" s="14">
        <v>45748</v>
      </c>
      <c r="B120" s="3">
        <v>5</v>
      </c>
      <c r="C120" s="13" t="s">
        <v>10</v>
      </c>
      <c r="D120" s="16">
        <v>1800</v>
      </c>
    </row>
    <row r="121" spans="1:4" x14ac:dyDescent="0.3">
      <c r="A121" s="14">
        <v>45748</v>
      </c>
      <c r="B121" s="2">
        <v>6</v>
      </c>
      <c r="C121" s="13" t="s">
        <v>11</v>
      </c>
      <c r="D121" s="16">
        <v>1000</v>
      </c>
    </row>
    <row r="122" spans="1:4" x14ac:dyDescent="0.3">
      <c r="A122" s="14">
        <v>45748</v>
      </c>
      <c r="B122" s="4">
        <v>7</v>
      </c>
      <c r="C122" s="13" t="s">
        <v>24</v>
      </c>
      <c r="D122" s="16">
        <v>900</v>
      </c>
    </row>
    <row r="123" spans="1:4" x14ac:dyDescent="0.3">
      <c r="A123" s="14">
        <v>45748</v>
      </c>
      <c r="B123" s="6">
        <v>8</v>
      </c>
      <c r="C123" s="13" t="s">
        <v>4</v>
      </c>
      <c r="D123" s="16">
        <v>800</v>
      </c>
    </row>
    <row r="124" spans="1:4" x14ac:dyDescent="0.3">
      <c r="A124" s="14">
        <v>45748</v>
      </c>
      <c r="B124" s="6">
        <v>9</v>
      </c>
      <c r="C124" s="13" t="s">
        <v>6</v>
      </c>
      <c r="D124" s="16">
        <v>780</v>
      </c>
    </row>
    <row r="125" spans="1:4" x14ac:dyDescent="0.3">
      <c r="A125" s="14">
        <v>45748</v>
      </c>
      <c r="B125" s="7">
        <v>10</v>
      </c>
      <c r="C125" s="13" t="s">
        <v>3</v>
      </c>
      <c r="D125" s="16">
        <v>500</v>
      </c>
    </row>
    <row r="126" spans="1:4" x14ac:dyDescent="0.3">
      <c r="A126" s="14">
        <v>45748</v>
      </c>
      <c r="B126" s="4">
        <v>11</v>
      </c>
      <c r="C126" s="13" t="s">
        <v>27</v>
      </c>
      <c r="D126" s="16">
        <v>300</v>
      </c>
    </row>
    <row r="127" spans="1:4" x14ac:dyDescent="0.3">
      <c r="A127" s="14">
        <v>45748</v>
      </c>
      <c r="C127" s="9" t="s">
        <v>16</v>
      </c>
      <c r="D127" s="28">
        <f>SUM(D116:D126)</f>
        <v>41780</v>
      </c>
    </row>
    <row r="128" spans="1:4" x14ac:dyDescent="0.3">
      <c r="A128" s="14">
        <v>45778</v>
      </c>
      <c r="B128" s="2">
        <v>1</v>
      </c>
      <c r="C128" s="13" t="s">
        <v>2</v>
      </c>
      <c r="D128" s="16">
        <v>33000</v>
      </c>
    </row>
    <row r="129" spans="1:4" x14ac:dyDescent="0.3">
      <c r="A129" s="14">
        <v>45778</v>
      </c>
      <c r="B129" s="3">
        <v>2</v>
      </c>
      <c r="C129" s="13" t="s">
        <v>1</v>
      </c>
      <c r="D129" s="16">
        <v>4000</v>
      </c>
    </row>
    <row r="130" spans="1:4" x14ac:dyDescent="0.3">
      <c r="A130" s="14">
        <v>45778</v>
      </c>
      <c r="B130" s="4">
        <v>3</v>
      </c>
      <c r="C130" s="13" t="s">
        <v>10</v>
      </c>
      <c r="D130" s="16">
        <v>3500</v>
      </c>
    </row>
    <row r="131" spans="1:4" x14ac:dyDescent="0.3">
      <c r="A131" s="14">
        <v>45778</v>
      </c>
      <c r="B131" s="5">
        <v>4</v>
      </c>
      <c r="C131" s="13" t="s">
        <v>5</v>
      </c>
      <c r="D131" s="16">
        <v>2500</v>
      </c>
    </row>
    <row r="132" spans="1:4" x14ac:dyDescent="0.3">
      <c r="A132" s="14">
        <v>45778</v>
      </c>
      <c r="B132" s="3">
        <v>5</v>
      </c>
      <c r="C132" s="13" t="s">
        <v>23</v>
      </c>
      <c r="D132" s="16">
        <v>2300</v>
      </c>
    </row>
    <row r="133" spans="1:4" x14ac:dyDescent="0.3">
      <c r="A133" s="14">
        <v>45778</v>
      </c>
      <c r="B133" s="2">
        <v>6</v>
      </c>
      <c r="C133" s="13" t="s">
        <v>24</v>
      </c>
      <c r="D133" s="16">
        <v>1500</v>
      </c>
    </row>
    <row r="134" spans="1:4" x14ac:dyDescent="0.3">
      <c r="A134" s="14">
        <v>45778</v>
      </c>
      <c r="B134" s="4">
        <v>7</v>
      </c>
      <c r="C134" s="13" t="s">
        <v>4</v>
      </c>
      <c r="D134" s="16">
        <v>1200</v>
      </c>
    </row>
    <row r="135" spans="1:4" x14ac:dyDescent="0.3">
      <c r="A135" s="14">
        <v>45778</v>
      </c>
      <c r="B135" s="6">
        <v>8</v>
      </c>
      <c r="C135" s="13" t="s">
        <v>3</v>
      </c>
      <c r="D135" s="16">
        <v>600</v>
      </c>
    </row>
    <row r="136" spans="1:4" x14ac:dyDescent="0.3">
      <c r="A136" s="14">
        <v>45778</v>
      </c>
      <c r="B136" s="6">
        <v>9</v>
      </c>
      <c r="C136" s="13" t="s">
        <v>7</v>
      </c>
      <c r="D136" s="16">
        <v>300</v>
      </c>
    </row>
    <row r="137" spans="1:4" x14ac:dyDescent="0.3">
      <c r="A137" s="14">
        <v>45778</v>
      </c>
      <c r="B137" s="7">
        <v>10</v>
      </c>
      <c r="C137" s="13" t="s">
        <v>6</v>
      </c>
      <c r="D137" s="16">
        <v>280</v>
      </c>
    </row>
    <row r="138" spans="1:4" x14ac:dyDescent="0.3">
      <c r="A138" s="14">
        <v>45778</v>
      </c>
      <c r="B138" s="4">
        <v>11</v>
      </c>
      <c r="C138" s="13" t="s">
        <v>25</v>
      </c>
      <c r="D138" s="16">
        <v>100</v>
      </c>
    </row>
    <row r="139" spans="1:4" x14ac:dyDescent="0.3">
      <c r="A139" s="14">
        <v>45778</v>
      </c>
      <c r="C139" s="9" t="s">
        <v>16</v>
      </c>
      <c r="D139" s="28">
        <f>SUM(D128:D138)</f>
        <v>49280</v>
      </c>
    </row>
    <row r="140" spans="1:4" x14ac:dyDescent="0.3">
      <c r="A140" s="14">
        <v>45809</v>
      </c>
      <c r="B140" s="2">
        <v>1</v>
      </c>
      <c r="C140" s="13" t="s">
        <v>2</v>
      </c>
      <c r="D140" s="16">
        <v>25000</v>
      </c>
    </row>
    <row r="141" spans="1:4" x14ac:dyDescent="0.3">
      <c r="A141" s="14">
        <v>45809</v>
      </c>
      <c r="B141" s="3">
        <v>2</v>
      </c>
      <c r="C141" s="13" t="s">
        <v>1</v>
      </c>
      <c r="D141" s="16">
        <v>3200</v>
      </c>
    </row>
    <row r="142" spans="1:4" x14ac:dyDescent="0.3">
      <c r="A142" s="14">
        <v>45809</v>
      </c>
      <c r="B142" s="4">
        <v>3</v>
      </c>
      <c r="C142" s="13" t="s">
        <v>23</v>
      </c>
      <c r="D142" s="16">
        <v>3000</v>
      </c>
    </row>
    <row r="143" spans="1:4" x14ac:dyDescent="0.3">
      <c r="A143" s="14">
        <v>45809</v>
      </c>
      <c r="B143" s="5">
        <v>4</v>
      </c>
      <c r="C143" s="13" t="s">
        <v>5</v>
      </c>
      <c r="D143" s="16">
        <v>2800</v>
      </c>
    </row>
    <row r="144" spans="1:4" x14ac:dyDescent="0.3">
      <c r="A144" s="14">
        <v>45809</v>
      </c>
      <c r="B144" s="3">
        <v>5</v>
      </c>
      <c r="C144" s="13" t="s">
        <v>24</v>
      </c>
      <c r="D144" s="16">
        <v>2400</v>
      </c>
    </row>
    <row r="145" spans="1:4" x14ac:dyDescent="0.3">
      <c r="A145" s="14">
        <v>45809</v>
      </c>
      <c r="B145" s="2">
        <v>6</v>
      </c>
      <c r="C145" s="13" t="s">
        <v>10</v>
      </c>
      <c r="D145" s="16">
        <v>2200</v>
      </c>
    </row>
    <row r="146" spans="1:4" x14ac:dyDescent="0.3">
      <c r="A146" s="14">
        <v>45809</v>
      </c>
      <c r="B146" s="4">
        <v>7</v>
      </c>
      <c r="C146" s="13" t="s">
        <v>4</v>
      </c>
      <c r="D146" s="16">
        <v>1500</v>
      </c>
    </row>
    <row r="147" spans="1:4" x14ac:dyDescent="0.3">
      <c r="A147" s="14">
        <v>45809</v>
      </c>
      <c r="B147" s="6">
        <v>8</v>
      </c>
      <c r="C147" s="13" t="s">
        <v>3</v>
      </c>
      <c r="D147" s="16">
        <v>1100</v>
      </c>
    </row>
    <row r="148" spans="1:4" x14ac:dyDescent="0.3">
      <c r="A148" s="14">
        <v>45809</v>
      </c>
      <c r="B148" s="6">
        <v>9</v>
      </c>
      <c r="C148" s="13" t="s">
        <v>11</v>
      </c>
      <c r="D148" s="16">
        <v>750</v>
      </c>
    </row>
    <row r="149" spans="1:4" x14ac:dyDescent="0.3">
      <c r="A149" s="14">
        <v>45809</v>
      </c>
      <c r="B149" s="7">
        <v>10</v>
      </c>
      <c r="C149" s="13" t="s">
        <v>29</v>
      </c>
      <c r="D149" s="16">
        <v>350</v>
      </c>
    </row>
    <row r="150" spans="1:4" x14ac:dyDescent="0.3">
      <c r="A150" s="14">
        <v>45809</v>
      </c>
      <c r="B150" s="4">
        <v>11</v>
      </c>
      <c r="C150" s="13" t="s">
        <v>26</v>
      </c>
      <c r="D150" s="16">
        <v>250</v>
      </c>
    </row>
    <row r="151" spans="1:4" x14ac:dyDescent="0.3">
      <c r="A151" s="14">
        <v>45809</v>
      </c>
      <c r="C151" s="9" t="s">
        <v>16</v>
      </c>
      <c r="D151" s="28">
        <f>SUM(D140:D150)</f>
        <v>42550</v>
      </c>
    </row>
    <row r="152" spans="1:4" x14ac:dyDescent="0.3">
      <c r="A152" s="14">
        <v>45839</v>
      </c>
      <c r="B152" s="2">
        <v>1</v>
      </c>
      <c r="C152" s="13" t="s">
        <v>2</v>
      </c>
      <c r="D152" s="16">
        <v>28000</v>
      </c>
    </row>
    <row r="153" spans="1:4" x14ac:dyDescent="0.3">
      <c r="A153" s="14">
        <v>45839</v>
      </c>
      <c r="B153" s="3">
        <v>2</v>
      </c>
      <c r="C153" s="13" t="s">
        <v>10</v>
      </c>
      <c r="D153" s="16">
        <v>11000</v>
      </c>
    </row>
    <row r="154" spans="1:4" x14ac:dyDescent="0.3">
      <c r="A154" s="14">
        <v>45839</v>
      </c>
      <c r="B154" s="4">
        <v>3</v>
      </c>
      <c r="C154" s="13" t="s">
        <v>1</v>
      </c>
      <c r="D154" s="16">
        <v>4500</v>
      </c>
    </row>
    <row r="155" spans="1:4" x14ac:dyDescent="0.3">
      <c r="A155" s="14">
        <v>45839</v>
      </c>
      <c r="B155" s="5">
        <v>4</v>
      </c>
      <c r="C155" s="13" t="s">
        <v>23</v>
      </c>
      <c r="D155" s="16">
        <v>3200</v>
      </c>
    </row>
    <row r="156" spans="1:4" x14ac:dyDescent="0.3">
      <c r="A156" s="14">
        <v>45839</v>
      </c>
      <c r="B156" s="3">
        <v>5</v>
      </c>
      <c r="C156" s="13" t="s">
        <v>5</v>
      </c>
      <c r="D156" s="16">
        <v>3000</v>
      </c>
    </row>
    <row r="157" spans="1:4" x14ac:dyDescent="0.3">
      <c r="A157" s="14">
        <v>45839</v>
      </c>
      <c r="B157" s="2">
        <v>6</v>
      </c>
      <c r="C157" s="13" t="s">
        <v>4</v>
      </c>
      <c r="D157" s="16">
        <v>2500</v>
      </c>
    </row>
    <row r="158" spans="1:4" x14ac:dyDescent="0.3">
      <c r="A158" s="14">
        <v>45839</v>
      </c>
      <c r="B158" s="4">
        <v>7</v>
      </c>
      <c r="C158" s="13" t="s">
        <v>24</v>
      </c>
      <c r="D158" s="16">
        <v>1000</v>
      </c>
    </row>
    <row r="159" spans="1:4" x14ac:dyDescent="0.3">
      <c r="A159" s="14">
        <v>45839</v>
      </c>
      <c r="B159" s="6">
        <v>8</v>
      </c>
      <c r="C159" s="13" t="s">
        <v>11</v>
      </c>
      <c r="D159" s="16">
        <v>1000</v>
      </c>
    </row>
    <row r="160" spans="1:4" x14ac:dyDescent="0.3">
      <c r="A160" s="14">
        <v>45839</v>
      </c>
      <c r="B160" s="6">
        <v>9</v>
      </c>
      <c r="C160" s="13" t="s">
        <v>6</v>
      </c>
      <c r="D160" s="16">
        <v>800</v>
      </c>
    </row>
    <row r="161" spans="1:4" x14ac:dyDescent="0.3">
      <c r="A161" s="14">
        <v>45839</v>
      </c>
      <c r="B161" s="7">
        <v>10</v>
      </c>
      <c r="C161" s="13" t="s">
        <v>3</v>
      </c>
      <c r="D161" s="16">
        <v>700</v>
      </c>
    </row>
    <row r="162" spans="1:4" x14ac:dyDescent="0.3">
      <c r="A162" s="14">
        <v>45839</v>
      </c>
      <c r="B162" s="4">
        <v>11</v>
      </c>
      <c r="C162" s="13" t="s">
        <v>22</v>
      </c>
      <c r="D162" s="16">
        <v>500</v>
      </c>
    </row>
    <row r="163" spans="1:4" x14ac:dyDescent="0.3">
      <c r="A163" s="14">
        <v>45839</v>
      </c>
      <c r="C163" s="9" t="s">
        <v>16</v>
      </c>
      <c r="D163" s="28">
        <f>SUM(D152:D162)</f>
        <v>56200</v>
      </c>
    </row>
    <row r="164" spans="1:4" x14ac:dyDescent="0.3">
      <c r="A164" s="14">
        <v>45870</v>
      </c>
      <c r="B164" s="2">
        <v>1</v>
      </c>
      <c r="C164" s="13" t="s">
        <v>2</v>
      </c>
      <c r="D164" s="16">
        <v>25000</v>
      </c>
    </row>
    <row r="165" spans="1:4" x14ac:dyDescent="0.3">
      <c r="A165" s="14">
        <v>45870</v>
      </c>
      <c r="B165" s="3">
        <v>2</v>
      </c>
      <c r="C165" s="13" t="s">
        <v>1</v>
      </c>
      <c r="D165" s="16">
        <v>4500</v>
      </c>
    </row>
    <row r="166" spans="1:4" x14ac:dyDescent="0.3">
      <c r="A166" s="14">
        <v>45870</v>
      </c>
      <c r="B166" s="4">
        <v>3</v>
      </c>
      <c r="C166" s="13" t="s">
        <v>23</v>
      </c>
      <c r="D166" s="16">
        <v>3200</v>
      </c>
    </row>
    <row r="167" spans="1:4" x14ac:dyDescent="0.3">
      <c r="A167" s="14">
        <v>45870</v>
      </c>
      <c r="B167" s="5">
        <v>4</v>
      </c>
      <c r="C167" s="13" t="s">
        <v>5</v>
      </c>
      <c r="D167" s="16">
        <v>2800</v>
      </c>
    </row>
    <row r="168" spans="1:4" x14ac:dyDescent="0.3">
      <c r="A168" s="14">
        <v>45870</v>
      </c>
      <c r="B168" s="3">
        <v>5</v>
      </c>
      <c r="C168" s="13" t="s">
        <v>10</v>
      </c>
      <c r="D168" s="16">
        <v>2200</v>
      </c>
    </row>
    <row r="169" spans="1:4" x14ac:dyDescent="0.3">
      <c r="A169" s="14">
        <v>45870</v>
      </c>
      <c r="B169" s="2">
        <v>6</v>
      </c>
      <c r="C169" s="13" t="s">
        <v>24</v>
      </c>
      <c r="D169" s="16">
        <v>1200</v>
      </c>
    </row>
    <row r="170" spans="1:4" x14ac:dyDescent="0.3">
      <c r="A170" s="14">
        <v>45870</v>
      </c>
      <c r="B170" s="4">
        <v>7</v>
      </c>
      <c r="C170" s="13" t="s">
        <v>4</v>
      </c>
      <c r="D170" s="16">
        <v>800</v>
      </c>
    </row>
    <row r="171" spans="1:4" x14ac:dyDescent="0.3">
      <c r="A171" s="14">
        <v>45870</v>
      </c>
      <c r="B171" s="6">
        <v>8</v>
      </c>
      <c r="C171" s="13" t="s">
        <v>6</v>
      </c>
      <c r="D171" s="16">
        <v>780</v>
      </c>
    </row>
    <row r="172" spans="1:4" x14ac:dyDescent="0.3">
      <c r="A172" s="14">
        <v>45870</v>
      </c>
      <c r="B172" s="6">
        <v>9</v>
      </c>
      <c r="C172" s="13" t="s">
        <v>7</v>
      </c>
      <c r="D172" s="16">
        <v>550</v>
      </c>
    </row>
    <row r="173" spans="1:4" x14ac:dyDescent="0.3">
      <c r="A173" s="14">
        <v>45870</v>
      </c>
      <c r="B173" s="7">
        <v>10</v>
      </c>
      <c r="C173" s="13" t="s">
        <v>30</v>
      </c>
      <c r="D173" s="16">
        <v>300</v>
      </c>
    </row>
    <row r="174" spans="1:4" x14ac:dyDescent="0.3">
      <c r="A174" s="14">
        <v>45870</v>
      </c>
      <c r="B174" s="4">
        <v>11</v>
      </c>
      <c r="C174" s="13" t="s">
        <v>3</v>
      </c>
      <c r="D174" s="16">
        <v>200</v>
      </c>
    </row>
    <row r="175" spans="1:4" x14ac:dyDescent="0.3">
      <c r="A175" s="14">
        <v>45870</v>
      </c>
      <c r="C175" s="9" t="s">
        <v>16</v>
      </c>
      <c r="D175" s="28">
        <f>SUM(D164:D174)</f>
        <v>41530</v>
      </c>
    </row>
    <row r="176" spans="1:4" x14ac:dyDescent="0.3">
      <c r="A176" s="14">
        <v>45901</v>
      </c>
      <c r="B176" s="2">
        <v>1</v>
      </c>
      <c r="C176" s="13" t="s">
        <v>2</v>
      </c>
      <c r="D176" s="16">
        <v>28000</v>
      </c>
    </row>
    <row r="177" spans="1:4" x14ac:dyDescent="0.3">
      <c r="A177" s="14">
        <v>45901</v>
      </c>
      <c r="B177" s="3">
        <v>2</v>
      </c>
      <c r="C177" s="13" t="s">
        <v>1</v>
      </c>
      <c r="D177" s="16">
        <v>6000</v>
      </c>
    </row>
    <row r="178" spans="1:4" x14ac:dyDescent="0.3">
      <c r="A178" s="14">
        <v>45901</v>
      </c>
      <c r="B178" s="4">
        <v>3</v>
      </c>
      <c r="C178" s="13" t="s">
        <v>23</v>
      </c>
      <c r="D178" s="16">
        <v>4200</v>
      </c>
    </row>
    <row r="179" spans="1:4" x14ac:dyDescent="0.3">
      <c r="A179" s="14">
        <v>45901</v>
      </c>
      <c r="B179" s="5">
        <v>4</v>
      </c>
      <c r="C179" s="13" t="s">
        <v>5</v>
      </c>
      <c r="D179" s="16">
        <v>3500</v>
      </c>
    </row>
    <row r="180" spans="1:4" x14ac:dyDescent="0.3">
      <c r="A180" s="14">
        <v>45901</v>
      </c>
      <c r="B180" s="3">
        <v>5</v>
      </c>
      <c r="C180" s="13" t="s">
        <v>10</v>
      </c>
      <c r="D180" s="16">
        <v>2500</v>
      </c>
    </row>
    <row r="181" spans="1:4" x14ac:dyDescent="0.3">
      <c r="A181" s="14">
        <v>45901</v>
      </c>
      <c r="B181" s="2">
        <v>6</v>
      </c>
      <c r="C181" s="13" t="s">
        <v>24</v>
      </c>
      <c r="D181" s="16">
        <v>1500</v>
      </c>
    </row>
    <row r="182" spans="1:4" x14ac:dyDescent="0.3">
      <c r="A182" s="14">
        <v>45901</v>
      </c>
      <c r="B182" s="4">
        <v>7</v>
      </c>
      <c r="C182" s="13" t="s">
        <v>4</v>
      </c>
      <c r="D182" s="16">
        <v>1000</v>
      </c>
    </row>
    <row r="183" spans="1:4" x14ac:dyDescent="0.3">
      <c r="A183" s="14">
        <v>45901</v>
      </c>
      <c r="B183" s="6">
        <v>8</v>
      </c>
      <c r="C183" s="13" t="s">
        <v>30</v>
      </c>
      <c r="D183" s="16">
        <v>900</v>
      </c>
    </row>
    <row r="184" spans="1:4" x14ac:dyDescent="0.3">
      <c r="A184" s="14">
        <v>45901</v>
      </c>
      <c r="B184" s="6">
        <v>9</v>
      </c>
      <c r="C184" s="13" t="s">
        <v>9</v>
      </c>
      <c r="D184" s="16">
        <v>750</v>
      </c>
    </row>
    <row r="185" spans="1:4" x14ac:dyDescent="0.3">
      <c r="A185" s="14">
        <v>45901</v>
      </c>
      <c r="B185" s="7">
        <v>10</v>
      </c>
      <c r="C185" s="13" t="s">
        <v>6</v>
      </c>
      <c r="D185" s="16">
        <v>450</v>
      </c>
    </row>
    <row r="186" spans="1:4" x14ac:dyDescent="0.3">
      <c r="A186" s="14">
        <v>45901</v>
      </c>
      <c r="B186" s="4">
        <v>11</v>
      </c>
      <c r="C186" s="13" t="s">
        <v>28</v>
      </c>
      <c r="D186" s="16">
        <v>300</v>
      </c>
    </row>
    <row r="187" spans="1:4" x14ac:dyDescent="0.3">
      <c r="A187" s="14">
        <v>45901</v>
      </c>
      <c r="C187" s="9" t="s">
        <v>16</v>
      </c>
      <c r="D187" s="28">
        <f>SUM(D176:D186)</f>
        <v>49100</v>
      </c>
    </row>
    <row r="188" spans="1:4" x14ac:dyDescent="0.3">
      <c r="A188" s="14">
        <v>45931</v>
      </c>
      <c r="B188" s="2">
        <v>1</v>
      </c>
      <c r="C188" s="13" t="s">
        <v>2</v>
      </c>
      <c r="D188" s="16">
        <v>25000</v>
      </c>
    </row>
    <row r="189" spans="1:4" x14ac:dyDescent="0.3">
      <c r="A189" s="14">
        <v>45931</v>
      </c>
      <c r="B189" s="3">
        <v>2</v>
      </c>
      <c r="C189" s="13" t="s">
        <v>1</v>
      </c>
      <c r="D189" s="16">
        <v>4000</v>
      </c>
    </row>
    <row r="190" spans="1:4" x14ac:dyDescent="0.3">
      <c r="A190" s="14">
        <v>45931</v>
      </c>
      <c r="B190" s="4">
        <v>3</v>
      </c>
      <c r="C190" s="13" t="s">
        <v>10</v>
      </c>
      <c r="D190" s="16">
        <v>3500</v>
      </c>
    </row>
    <row r="191" spans="1:4" x14ac:dyDescent="0.3">
      <c r="A191" s="14">
        <v>45931</v>
      </c>
      <c r="B191" s="5">
        <v>4</v>
      </c>
      <c r="C191" s="13" t="s">
        <v>23</v>
      </c>
      <c r="D191" s="16">
        <v>3000</v>
      </c>
    </row>
    <row r="192" spans="1:4" x14ac:dyDescent="0.3">
      <c r="A192" s="14">
        <v>45931</v>
      </c>
      <c r="B192" s="3">
        <v>5</v>
      </c>
      <c r="C192" s="13" t="s">
        <v>5</v>
      </c>
      <c r="D192" s="16">
        <v>2800</v>
      </c>
    </row>
    <row r="193" spans="1:4" x14ac:dyDescent="0.3">
      <c r="A193" s="14">
        <v>45931</v>
      </c>
      <c r="B193" s="2">
        <v>6</v>
      </c>
      <c r="C193" s="13" t="s">
        <v>11</v>
      </c>
      <c r="D193" s="16">
        <v>2000</v>
      </c>
    </row>
    <row r="194" spans="1:4" x14ac:dyDescent="0.3">
      <c r="A194" s="14">
        <v>45931</v>
      </c>
      <c r="B194" s="4">
        <v>7</v>
      </c>
      <c r="C194" s="13" t="s">
        <v>24</v>
      </c>
      <c r="D194" s="16">
        <v>1400</v>
      </c>
    </row>
    <row r="195" spans="1:4" x14ac:dyDescent="0.3">
      <c r="A195" s="14">
        <v>45931</v>
      </c>
      <c r="B195" s="6">
        <v>8</v>
      </c>
      <c r="C195" s="13" t="s">
        <v>4</v>
      </c>
      <c r="D195" s="16">
        <v>1000</v>
      </c>
    </row>
    <row r="196" spans="1:4" x14ac:dyDescent="0.3">
      <c r="A196" s="14">
        <v>45931</v>
      </c>
      <c r="B196" s="6">
        <v>9</v>
      </c>
      <c r="C196" s="13" t="s">
        <v>6</v>
      </c>
      <c r="D196" s="16">
        <v>700</v>
      </c>
    </row>
    <row r="197" spans="1:4" x14ac:dyDescent="0.3">
      <c r="A197" s="14">
        <v>45931</v>
      </c>
      <c r="B197" s="7">
        <v>10</v>
      </c>
      <c r="C197" s="13" t="s">
        <v>22</v>
      </c>
      <c r="D197" s="16">
        <v>400</v>
      </c>
    </row>
    <row r="198" spans="1:4" x14ac:dyDescent="0.3">
      <c r="A198" s="14">
        <v>45931</v>
      </c>
      <c r="B198" s="4">
        <v>11</v>
      </c>
      <c r="C198" s="13" t="s">
        <v>3</v>
      </c>
      <c r="D198" s="16">
        <v>200</v>
      </c>
    </row>
    <row r="199" spans="1:4" x14ac:dyDescent="0.3">
      <c r="A199" s="14">
        <v>45931</v>
      </c>
      <c r="C199" s="9" t="s">
        <v>16</v>
      </c>
      <c r="D199" s="28">
        <f>SUM(D188:D198)</f>
        <v>44000</v>
      </c>
    </row>
    <row r="200" spans="1:4" x14ac:dyDescent="0.3">
      <c r="A200" s="14">
        <v>45962</v>
      </c>
      <c r="B200" s="2">
        <v>1</v>
      </c>
      <c r="C200" s="13" t="s">
        <v>2</v>
      </c>
      <c r="D200" s="16">
        <v>24500</v>
      </c>
    </row>
    <row r="201" spans="1:4" x14ac:dyDescent="0.3">
      <c r="A201" s="14">
        <v>45962</v>
      </c>
      <c r="B201" s="3">
        <v>2</v>
      </c>
      <c r="C201" s="13" t="s">
        <v>1</v>
      </c>
      <c r="D201" s="16">
        <v>3500</v>
      </c>
    </row>
    <row r="202" spans="1:4" x14ac:dyDescent="0.3">
      <c r="A202" s="14">
        <v>45962</v>
      </c>
      <c r="B202" s="4">
        <v>3</v>
      </c>
      <c r="C202" s="13" t="s">
        <v>23</v>
      </c>
      <c r="D202" s="16">
        <v>3000</v>
      </c>
    </row>
    <row r="203" spans="1:4" x14ac:dyDescent="0.3">
      <c r="A203" s="14">
        <v>45962</v>
      </c>
      <c r="B203" s="5">
        <v>4</v>
      </c>
      <c r="C203" s="13" t="s">
        <v>24</v>
      </c>
      <c r="D203" s="16">
        <v>2750</v>
      </c>
    </row>
    <row r="204" spans="1:4" x14ac:dyDescent="0.3">
      <c r="A204" s="14">
        <v>45962</v>
      </c>
      <c r="B204" s="3">
        <v>5</v>
      </c>
      <c r="C204" s="13" t="s">
        <v>10</v>
      </c>
      <c r="D204" s="16">
        <v>2200</v>
      </c>
    </row>
    <row r="205" spans="1:4" x14ac:dyDescent="0.3">
      <c r="A205" s="14">
        <v>45962</v>
      </c>
      <c r="B205" s="2">
        <v>6</v>
      </c>
      <c r="C205" s="13" t="s">
        <v>5</v>
      </c>
      <c r="D205" s="16">
        <v>1400</v>
      </c>
    </row>
    <row r="206" spans="1:4" x14ac:dyDescent="0.3">
      <c r="A206" s="14">
        <v>45962</v>
      </c>
      <c r="B206" s="4">
        <v>7</v>
      </c>
      <c r="C206" s="13" t="s">
        <v>4</v>
      </c>
      <c r="D206" s="16">
        <v>1000</v>
      </c>
    </row>
    <row r="207" spans="1:4" x14ac:dyDescent="0.3">
      <c r="A207" s="14">
        <v>45962</v>
      </c>
      <c r="B207" s="6">
        <v>8</v>
      </c>
      <c r="C207" s="13" t="s">
        <v>6</v>
      </c>
      <c r="D207" s="16">
        <v>750</v>
      </c>
    </row>
    <row r="208" spans="1:4" x14ac:dyDescent="0.3">
      <c r="A208" s="14">
        <v>45962</v>
      </c>
      <c r="B208" s="6">
        <v>9</v>
      </c>
      <c r="C208" s="13" t="s">
        <v>3</v>
      </c>
      <c r="D208" s="16">
        <v>600</v>
      </c>
    </row>
    <row r="209" spans="1:4" x14ac:dyDescent="0.3">
      <c r="A209" s="14">
        <v>45962</v>
      </c>
      <c r="B209" s="7">
        <v>10</v>
      </c>
      <c r="C209" s="13" t="s">
        <v>30</v>
      </c>
      <c r="D209" s="16">
        <v>200</v>
      </c>
    </row>
    <row r="210" spans="1:4" x14ac:dyDescent="0.3">
      <c r="A210" s="14">
        <v>45962</v>
      </c>
      <c r="B210" s="4">
        <v>11</v>
      </c>
      <c r="C210" s="13" t="s">
        <v>25</v>
      </c>
      <c r="D210" s="16">
        <v>100</v>
      </c>
    </row>
    <row r="211" spans="1:4" x14ac:dyDescent="0.3">
      <c r="A211" s="14">
        <v>45962</v>
      </c>
      <c r="C211" s="9" t="s">
        <v>16</v>
      </c>
      <c r="D211" s="28">
        <f>SUM(D200:D210)</f>
        <v>40000</v>
      </c>
    </row>
    <row r="212" spans="1:4" x14ac:dyDescent="0.3">
      <c r="A212" s="14">
        <v>45992</v>
      </c>
      <c r="B212" s="2">
        <v>1</v>
      </c>
      <c r="C212" s="13" t="s">
        <v>2</v>
      </c>
      <c r="D212" s="16">
        <v>28000</v>
      </c>
    </row>
    <row r="213" spans="1:4" x14ac:dyDescent="0.3">
      <c r="A213" s="14">
        <v>45992</v>
      </c>
      <c r="B213" s="3">
        <v>2</v>
      </c>
      <c r="C213" s="13" t="s">
        <v>1</v>
      </c>
      <c r="D213" s="16">
        <v>5500</v>
      </c>
    </row>
    <row r="214" spans="1:4" x14ac:dyDescent="0.3">
      <c r="A214" s="14">
        <v>45992</v>
      </c>
      <c r="B214" s="4">
        <v>3</v>
      </c>
      <c r="C214" s="13" t="s">
        <v>23</v>
      </c>
      <c r="D214" s="16">
        <v>4500</v>
      </c>
    </row>
    <row r="215" spans="1:4" x14ac:dyDescent="0.3">
      <c r="A215" s="14">
        <v>45992</v>
      </c>
      <c r="B215" s="5">
        <v>4</v>
      </c>
      <c r="C215" s="13" t="s">
        <v>5</v>
      </c>
      <c r="D215" s="16">
        <v>3500</v>
      </c>
    </row>
    <row r="216" spans="1:4" x14ac:dyDescent="0.3">
      <c r="A216" s="14">
        <v>45992</v>
      </c>
      <c r="B216" s="3">
        <v>5</v>
      </c>
      <c r="C216" s="13" t="s">
        <v>24</v>
      </c>
      <c r="D216" s="16">
        <v>3000</v>
      </c>
    </row>
    <row r="217" spans="1:4" x14ac:dyDescent="0.3">
      <c r="A217" s="14">
        <v>45992</v>
      </c>
      <c r="B217" s="2">
        <v>6</v>
      </c>
      <c r="C217" s="13" t="s">
        <v>10</v>
      </c>
      <c r="D217" s="16">
        <v>1800</v>
      </c>
    </row>
    <row r="218" spans="1:4" x14ac:dyDescent="0.3">
      <c r="A218" s="14">
        <v>45992</v>
      </c>
      <c r="B218" s="4">
        <v>7</v>
      </c>
      <c r="C218" s="13" t="s">
        <v>11</v>
      </c>
      <c r="D218" s="16">
        <v>1200</v>
      </c>
    </row>
    <row r="219" spans="1:4" x14ac:dyDescent="0.3">
      <c r="A219" s="14">
        <v>45992</v>
      </c>
      <c r="B219" s="6">
        <v>8</v>
      </c>
      <c r="C219" s="13" t="s">
        <v>4</v>
      </c>
      <c r="D219" s="16">
        <v>1000</v>
      </c>
    </row>
    <row r="220" spans="1:4" x14ac:dyDescent="0.3">
      <c r="A220" s="14">
        <v>45992</v>
      </c>
      <c r="B220" s="6">
        <v>9</v>
      </c>
      <c r="C220" s="13" t="s">
        <v>6</v>
      </c>
      <c r="D220" s="16">
        <v>800</v>
      </c>
    </row>
    <row r="221" spans="1:4" x14ac:dyDescent="0.3">
      <c r="A221" s="14">
        <v>45992</v>
      </c>
      <c r="B221" s="7">
        <v>10</v>
      </c>
      <c r="C221" s="13" t="s">
        <v>3</v>
      </c>
      <c r="D221" s="16">
        <v>500</v>
      </c>
    </row>
    <row r="222" spans="1:4" x14ac:dyDescent="0.3">
      <c r="A222" s="14">
        <v>45992</v>
      </c>
      <c r="B222" s="4">
        <v>11</v>
      </c>
      <c r="C222" s="13" t="s">
        <v>8</v>
      </c>
      <c r="D222" s="16">
        <v>100</v>
      </c>
    </row>
    <row r="223" spans="1:4" x14ac:dyDescent="0.3">
      <c r="A223" s="14">
        <v>45992</v>
      </c>
      <c r="C223" s="9" t="s">
        <v>16</v>
      </c>
      <c r="D223" s="28">
        <f>SUM(D212:D222)</f>
        <v>49900</v>
      </c>
    </row>
    <row r="224" spans="1:4" x14ac:dyDescent="0.3">
      <c r="A224" s="14">
        <v>46023</v>
      </c>
      <c r="B224" s="2">
        <v>1</v>
      </c>
      <c r="C224" s="13" t="s">
        <v>2</v>
      </c>
      <c r="D224" s="16">
        <v>42000</v>
      </c>
    </row>
    <row r="225" spans="1:4" x14ac:dyDescent="0.3">
      <c r="A225" s="14">
        <v>46023</v>
      </c>
      <c r="B225" s="3">
        <v>2</v>
      </c>
      <c r="C225" s="13" t="s">
        <v>23</v>
      </c>
      <c r="D225" s="16">
        <v>5000</v>
      </c>
    </row>
    <row r="226" spans="1:4" x14ac:dyDescent="0.3">
      <c r="A226" s="14">
        <v>46023</v>
      </c>
      <c r="B226" s="4">
        <v>3</v>
      </c>
      <c r="C226" s="13" t="s">
        <v>1</v>
      </c>
      <c r="D226" s="16">
        <v>4500</v>
      </c>
    </row>
    <row r="227" spans="1:4" x14ac:dyDescent="0.3">
      <c r="A227" s="14">
        <v>46023</v>
      </c>
      <c r="B227" s="5">
        <v>4</v>
      </c>
      <c r="C227" s="13" t="s">
        <v>5</v>
      </c>
      <c r="D227" s="16">
        <v>4300</v>
      </c>
    </row>
    <row r="228" spans="1:4" x14ac:dyDescent="0.3">
      <c r="A228" s="14">
        <v>46023</v>
      </c>
      <c r="B228" s="3">
        <v>5</v>
      </c>
      <c r="C228" s="13" t="s">
        <v>10</v>
      </c>
      <c r="D228" s="16">
        <v>3800</v>
      </c>
    </row>
    <row r="229" spans="1:4" x14ac:dyDescent="0.3">
      <c r="A229" s="14">
        <v>46023</v>
      </c>
      <c r="B229" s="2">
        <v>6</v>
      </c>
      <c r="C229" s="13" t="s">
        <v>24</v>
      </c>
      <c r="D229" s="16">
        <v>2900</v>
      </c>
    </row>
    <row r="230" spans="1:4" x14ac:dyDescent="0.3">
      <c r="A230" s="14">
        <v>46023</v>
      </c>
      <c r="B230" s="4">
        <v>7</v>
      </c>
      <c r="C230" s="13" t="s">
        <v>4</v>
      </c>
      <c r="D230" s="16">
        <v>2400</v>
      </c>
    </row>
    <row r="231" spans="1:4" x14ac:dyDescent="0.3">
      <c r="A231" s="14">
        <v>46023</v>
      </c>
      <c r="B231" s="6">
        <v>8</v>
      </c>
      <c r="C231" s="13" t="s">
        <v>30</v>
      </c>
      <c r="D231" s="16">
        <v>1600</v>
      </c>
    </row>
    <row r="232" spans="1:4" x14ac:dyDescent="0.3">
      <c r="A232" s="14">
        <v>46023</v>
      </c>
      <c r="B232" s="6">
        <v>9</v>
      </c>
      <c r="C232" s="13" t="s">
        <v>3</v>
      </c>
      <c r="D232" s="16">
        <v>1400</v>
      </c>
    </row>
    <row r="233" spans="1:4" x14ac:dyDescent="0.3">
      <c r="A233" s="14">
        <v>46023</v>
      </c>
      <c r="B233" s="7">
        <v>10</v>
      </c>
      <c r="C233" s="13" t="s">
        <v>6</v>
      </c>
      <c r="D233" s="16">
        <v>1200</v>
      </c>
    </row>
    <row r="234" spans="1:4" x14ac:dyDescent="0.3">
      <c r="A234" s="14">
        <v>46023</v>
      </c>
      <c r="B234" s="4">
        <v>11</v>
      </c>
      <c r="C234" s="13" t="s">
        <v>7</v>
      </c>
      <c r="D234" s="16">
        <v>900</v>
      </c>
    </row>
    <row r="235" spans="1:4" x14ac:dyDescent="0.3">
      <c r="A235" s="14">
        <v>46023</v>
      </c>
      <c r="B235" s="8"/>
      <c r="C235" s="9" t="s">
        <v>16</v>
      </c>
      <c r="D235" s="28">
        <f>SUM(D224:D234)</f>
        <v>70000</v>
      </c>
    </row>
    <row r="236" spans="1:4" x14ac:dyDescent="0.3">
      <c r="A236" s="14">
        <v>46054</v>
      </c>
      <c r="B236" s="2">
        <v>1</v>
      </c>
      <c r="C236" s="13" t="s">
        <v>2</v>
      </c>
      <c r="D236" s="16">
        <v>41000</v>
      </c>
    </row>
    <row r="237" spans="1:4" x14ac:dyDescent="0.3">
      <c r="A237" s="14">
        <v>46054</v>
      </c>
      <c r="B237" s="3">
        <v>2</v>
      </c>
      <c r="C237" s="13" t="s">
        <v>23</v>
      </c>
      <c r="D237" s="16">
        <v>4000</v>
      </c>
    </row>
    <row r="238" spans="1:4" x14ac:dyDescent="0.3">
      <c r="A238" s="14">
        <v>46054</v>
      </c>
      <c r="B238" s="4">
        <v>3</v>
      </c>
      <c r="C238" s="13" t="s">
        <v>1</v>
      </c>
      <c r="D238" s="16">
        <v>3500</v>
      </c>
    </row>
    <row r="239" spans="1:4" x14ac:dyDescent="0.3">
      <c r="A239" s="14">
        <v>46054</v>
      </c>
      <c r="B239" s="5">
        <v>4</v>
      </c>
      <c r="C239" s="13" t="s">
        <v>5</v>
      </c>
      <c r="D239" s="16">
        <v>3800</v>
      </c>
    </row>
    <row r="240" spans="1:4" x14ac:dyDescent="0.3">
      <c r="A240" s="14">
        <v>46054</v>
      </c>
      <c r="B240" s="3">
        <v>5</v>
      </c>
      <c r="C240" s="13" t="s">
        <v>10</v>
      </c>
      <c r="D240" s="16">
        <v>2500</v>
      </c>
    </row>
    <row r="241" spans="1:4" x14ac:dyDescent="0.3">
      <c r="A241" s="14">
        <v>46054</v>
      </c>
      <c r="B241" s="2">
        <v>6</v>
      </c>
      <c r="C241" s="13" t="s">
        <v>24</v>
      </c>
      <c r="D241" s="16">
        <v>2450</v>
      </c>
    </row>
    <row r="242" spans="1:4" x14ac:dyDescent="0.3">
      <c r="A242" s="14">
        <v>46054</v>
      </c>
      <c r="B242" s="4">
        <v>7</v>
      </c>
      <c r="C242" s="13" t="s">
        <v>4</v>
      </c>
      <c r="D242" s="16">
        <v>1500</v>
      </c>
    </row>
    <row r="243" spans="1:4" x14ac:dyDescent="0.3">
      <c r="A243" s="14">
        <v>46054</v>
      </c>
      <c r="B243" s="6">
        <v>8</v>
      </c>
      <c r="C243" s="13" t="s">
        <v>30</v>
      </c>
      <c r="D243" s="16">
        <v>1400</v>
      </c>
    </row>
    <row r="244" spans="1:4" x14ac:dyDescent="0.3">
      <c r="A244" s="14">
        <v>46054</v>
      </c>
      <c r="B244" s="6">
        <v>9</v>
      </c>
      <c r="C244" s="13" t="s">
        <v>3</v>
      </c>
      <c r="D244" s="16">
        <v>1300</v>
      </c>
    </row>
    <row r="245" spans="1:4" x14ac:dyDescent="0.3">
      <c r="A245" s="14">
        <v>46054</v>
      </c>
      <c r="B245" s="7">
        <v>10</v>
      </c>
      <c r="C245" s="13" t="s">
        <v>6</v>
      </c>
      <c r="D245" s="16">
        <v>1200</v>
      </c>
    </row>
    <row r="246" spans="1:4" x14ac:dyDescent="0.3">
      <c r="A246" s="14">
        <v>46054</v>
      </c>
      <c r="B246" s="4">
        <v>11</v>
      </c>
      <c r="C246" s="13" t="s">
        <v>7</v>
      </c>
      <c r="D246" s="16">
        <v>600</v>
      </c>
    </row>
    <row r="247" spans="1:4" x14ac:dyDescent="0.3">
      <c r="A247" s="14">
        <v>46054</v>
      </c>
      <c r="B247" s="8"/>
      <c r="C247" s="9" t="s">
        <v>16</v>
      </c>
      <c r="D247" s="28">
        <f>SUM(D236:D246)</f>
        <v>63250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3AEC-18B0-4992-942D-714E56E2F8EF}">
  <dimension ref="B1:N25"/>
  <sheetViews>
    <sheetView workbookViewId="0">
      <selection activeCell="B1" sqref="B1"/>
    </sheetView>
  </sheetViews>
  <sheetFormatPr defaultRowHeight="14.4" x14ac:dyDescent="0.3"/>
  <cols>
    <col min="2" max="2" width="8.44140625" bestFit="1" customWidth="1"/>
    <col min="3" max="3" width="9.88671875" bestFit="1" customWidth="1"/>
    <col min="4" max="4" width="11.109375" bestFit="1" customWidth="1"/>
    <col min="5" max="5" width="11.5546875" bestFit="1" customWidth="1"/>
    <col min="6" max="6" width="10.109375" bestFit="1" customWidth="1"/>
    <col min="7" max="7" width="12" bestFit="1" customWidth="1"/>
    <col min="8" max="8" width="12.88671875" bestFit="1" customWidth="1"/>
    <col min="9" max="9" width="10.33203125" bestFit="1" customWidth="1"/>
    <col min="10" max="10" width="11.21875" bestFit="1" customWidth="1"/>
    <col min="11" max="11" width="12.33203125" bestFit="1" customWidth="1"/>
    <col min="12" max="12" width="12.44140625" bestFit="1" customWidth="1"/>
    <col min="13" max="13" width="13.21875" bestFit="1" customWidth="1"/>
    <col min="14" max="14" width="9.5546875" bestFit="1" customWidth="1"/>
  </cols>
  <sheetData>
    <row r="1" spans="2:14" ht="21" x14ac:dyDescent="0.4">
      <c r="B1" s="26" t="s">
        <v>35</v>
      </c>
      <c r="F1" s="25" t="s">
        <v>44</v>
      </c>
    </row>
    <row r="4" spans="2:14" ht="28.8" x14ac:dyDescent="0.3">
      <c r="B4" s="21" t="s">
        <v>38</v>
      </c>
      <c r="C4" s="22" t="s">
        <v>15</v>
      </c>
      <c r="D4" s="22" t="s">
        <v>21</v>
      </c>
      <c r="E4" s="22" t="s">
        <v>13</v>
      </c>
      <c r="F4" s="11" t="s">
        <v>10</v>
      </c>
      <c r="G4" s="23" t="s">
        <v>19</v>
      </c>
      <c r="H4" s="23" t="s">
        <v>20</v>
      </c>
      <c r="I4" s="23" t="s">
        <v>18</v>
      </c>
      <c r="J4" s="23" t="s">
        <v>0</v>
      </c>
      <c r="K4" s="23" t="s">
        <v>17</v>
      </c>
      <c r="L4" s="23" t="s">
        <v>12</v>
      </c>
      <c r="M4" s="23" t="s">
        <v>14</v>
      </c>
      <c r="N4" s="23" t="s">
        <v>16</v>
      </c>
    </row>
    <row r="6" spans="2:14" x14ac:dyDescent="0.3">
      <c r="B6" s="14">
        <v>45474</v>
      </c>
      <c r="C6" s="1" t="s">
        <v>16</v>
      </c>
      <c r="D6" s="15">
        <v>2000</v>
      </c>
      <c r="E6" s="15">
        <v>500</v>
      </c>
      <c r="F6" s="15">
        <f t="shared" ref="F6:F25" si="0">N6-D6-E6-SUM(G6:M6)</f>
        <v>6800</v>
      </c>
      <c r="G6" s="15">
        <v>3500</v>
      </c>
      <c r="H6" s="15">
        <v>100</v>
      </c>
      <c r="I6" s="15">
        <v>1000</v>
      </c>
      <c r="J6" s="15">
        <v>3000</v>
      </c>
      <c r="K6" s="15">
        <v>18000</v>
      </c>
      <c r="L6" s="15">
        <v>1000</v>
      </c>
      <c r="M6" s="15">
        <v>1000</v>
      </c>
      <c r="N6" s="10">
        <f>'Top Countries $'!D19</f>
        <v>36900</v>
      </c>
    </row>
    <row r="7" spans="2:14" x14ac:dyDescent="0.3">
      <c r="B7" s="14">
        <v>45505</v>
      </c>
      <c r="C7" s="1" t="s">
        <v>16</v>
      </c>
      <c r="D7" s="15">
        <v>2000</v>
      </c>
      <c r="E7" s="15">
        <v>0</v>
      </c>
      <c r="F7" s="15">
        <f t="shared" si="0"/>
        <v>1050</v>
      </c>
      <c r="G7" s="15">
        <v>3000</v>
      </c>
      <c r="H7" s="15">
        <v>150</v>
      </c>
      <c r="I7" s="15">
        <v>1200</v>
      </c>
      <c r="J7" s="15">
        <v>3200</v>
      </c>
      <c r="K7" s="15">
        <v>16000</v>
      </c>
      <c r="L7" s="15">
        <v>1000</v>
      </c>
      <c r="M7" s="15">
        <v>1200</v>
      </c>
      <c r="N7" s="10">
        <f>'Top Countries $'!D31</f>
        <v>28800</v>
      </c>
    </row>
    <row r="8" spans="2:14" x14ac:dyDescent="0.3">
      <c r="B8" s="14">
        <v>45536</v>
      </c>
      <c r="C8" s="1" t="s">
        <v>16</v>
      </c>
      <c r="D8" s="15">
        <v>2000</v>
      </c>
      <c r="E8" s="15">
        <v>0</v>
      </c>
      <c r="F8" s="15">
        <f t="shared" si="0"/>
        <v>1850</v>
      </c>
      <c r="G8" s="15">
        <v>3000</v>
      </c>
      <c r="H8" s="15">
        <v>150</v>
      </c>
      <c r="I8" s="15">
        <v>1400</v>
      </c>
      <c r="J8" s="15">
        <v>3400</v>
      </c>
      <c r="K8" s="15">
        <v>21000</v>
      </c>
      <c r="L8" s="15">
        <v>1200</v>
      </c>
      <c r="M8" s="15">
        <v>1200</v>
      </c>
      <c r="N8" s="10">
        <f>'Top Countries $'!D43</f>
        <v>35200</v>
      </c>
    </row>
    <row r="9" spans="2:14" x14ac:dyDescent="0.3">
      <c r="B9" s="14">
        <v>45566</v>
      </c>
      <c r="C9" s="1" t="s">
        <v>16</v>
      </c>
      <c r="D9" s="15">
        <v>2000</v>
      </c>
      <c r="E9" s="15">
        <v>1500</v>
      </c>
      <c r="F9" s="15">
        <f t="shared" si="0"/>
        <v>1650</v>
      </c>
      <c r="G9" s="15">
        <v>3000</v>
      </c>
      <c r="H9" s="15">
        <v>150</v>
      </c>
      <c r="I9" s="15">
        <v>1600</v>
      </c>
      <c r="J9" s="15">
        <v>3600</v>
      </c>
      <c r="K9" s="15">
        <v>16000</v>
      </c>
      <c r="L9" s="15">
        <v>1200</v>
      </c>
      <c r="M9" s="15">
        <v>1200</v>
      </c>
      <c r="N9" s="10">
        <f>'Top Countries $'!D55</f>
        <v>31900</v>
      </c>
    </row>
    <row r="10" spans="2:14" x14ac:dyDescent="0.3">
      <c r="B10" s="14">
        <v>45597</v>
      </c>
      <c r="C10" s="1" t="s">
        <v>16</v>
      </c>
      <c r="D10" s="15">
        <v>2000</v>
      </c>
      <c r="E10" s="15">
        <v>0</v>
      </c>
      <c r="F10" s="15">
        <f t="shared" si="0"/>
        <v>1400</v>
      </c>
      <c r="G10" s="15">
        <v>3000</v>
      </c>
      <c r="H10" s="15">
        <v>200</v>
      </c>
      <c r="I10" s="15">
        <v>1800</v>
      </c>
      <c r="J10" s="15">
        <v>3800</v>
      </c>
      <c r="K10" s="15">
        <v>12000</v>
      </c>
      <c r="L10" s="15">
        <v>1600</v>
      </c>
      <c r="M10" s="15">
        <v>1600</v>
      </c>
      <c r="N10" s="10">
        <f>'Top Countries $'!D67</f>
        <v>27400</v>
      </c>
    </row>
    <row r="11" spans="2:14" x14ac:dyDescent="0.3">
      <c r="B11" s="14">
        <v>45627</v>
      </c>
      <c r="C11" s="1" t="s">
        <v>16</v>
      </c>
      <c r="D11" s="15">
        <v>2000</v>
      </c>
      <c r="E11" s="15">
        <v>0</v>
      </c>
      <c r="F11" s="15">
        <f t="shared" si="0"/>
        <v>6780</v>
      </c>
      <c r="G11" s="15">
        <v>3000</v>
      </c>
      <c r="H11" s="15">
        <v>200</v>
      </c>
      <c r="I11" s="15">
        <v>2000</v>
      </c>
      <c r="J11" s="15">
        <v>4000</v>
      </c>
      <c r="K11" s="15">
        <v>26000</v>
      </c>
      <c r="L11" s="15">
        <v>1600</v>
      </c>
      <c r="M11" s="15">
        <v>1600</v>
      </c>
      <c r="N11" s="10">
        <f>'Top Countries $'!D79</f>
        <v>47180</v>
      </c>
    </row>
    <row r="12" spans="2:14" x14ac:dyDescent="0.3">
      <c r="B12" s="14">
        <v>45658</v>
      </c>
      <c r="C12" s="1" t="s">
        <v>16</v>
      </c>
      <c r="D12" s="15">
        <v>2000</v>
      </c>
      <c r="E12" s="15">
        <v>5000</v>
      </c>
      <c r="F12" s="15">
        <f t="shared" si="0"/>
        <v>1450</v>
      </c>
      <c r="G12" s="15">
        <v>2800</v>
      </c>
      <c r="H12" s="15">
        <v>250</v>
      </c>
      <c r="I12" s="15">
        <v>2200</v>
      </c>
      <c r="J12" s="15">
        <v>4200</v>
      </c>
      <c r="K12" s="15">
        <v>15500</v>
      </c>
      <c r="L12" s="15">
        <v>1400</v>
      </c>
      <c r="M12" s="15">
        <v>1800</v>
      </c>
      <c r="N12" s="10">
        <f>'Top Countries $'!D91</f>
        <v>36600</v>
      </c>
    </row>
    <row r="13" spans="2:14" x14ac:dyDescent="0.3">
      <c r="B13" s="14">
        <v>45689</v>
      </c>
      <c r="C13" s="1" t="s">
        <v>16</v>
      </c>
      <c r="D13" s="15">
        <v>2000</v>
      </c>
      <c r="E13" s="15">
        <v>0</v>
      </c>
      <c r="F13" s="15">
        <f t="shared" si="0"/>
        <v>2680</v>
      </c>
      <c r="G13" s="15">
        <v>2500</v>
      </c>
      <c r="H13" s="15">
        <v>250</v>
      </c>
      <c r="I13" s="15">
        <v>2400</v>
      </c>
      <c r="J13" s="15">
        <v>4400</v>
      </c>
      <c r="K13" s="15">
        <v>18000</v>
      </c>
      <c r="L13" s="15">
        <v>1400</v>
      </c>
      <c r="M13" s="15">
        <v>1800</v>
      </c>
      <c r="N13" s="10">
        <f>'Top Countries $'!D103</f>
        <v>35430</v>
      </c>
    </row>
    <row r="14" spans="2:14" x14ac:dyDescent="0.3">
      <c r="B14" s="14">
        <v>45717</v>
      </c>
      <c r="C14" s="1" t="s">
        <v>16</v>
      </c>
      <c r="D14" s="15">
        <v>2000</v>
      </c>
      <c r="E14" s="15">
        <v>0</v>
      </c>
      <c r="F14" s="15">
        <f t="shared" si="0"/>
        <v>6000</v>
      </c>
      <c r="G14" s="15">
        <v>2500</v>
      </c>
      <c r="H14" s="15">
        <v>300</v>
      </c>
      <c r="I14" s="15">
        <v>2600</v>
      </c>
      <c r="J14" s="15">
        <v>4600</v>
      </c>
      <c r="K14" s="15">
        <v>30000</v>
      </c>
      <c r="L14" s="15">
        <v>1200</v>
      </c>
      <c r="M14" s="15">
        <v>1800</v>
      </c>
      <c r="N14" s="10">
        <f>'Top Countries $'!D115</f>
        <v>51000</v>
      </c>
    </row>
    <row r="15" spans="2:14" x14ac:dyDescent="0.3">
      <c r="B15" s="14">
        <v>45748</v>
      </c>
      <c r="C15" s="1" t="s">
        <v>16</v>
      </c>
      <c r="D15" s="15">
        <v>2000</v>
      </c>
      <c r="E15" s="15">
        <v>0</v>
      </c>
      <c r="F15" s="15">
        <f t="shared" si="0"/>
        <v>6780</v>
      </c>
      <c r="G15" s="15">
        <v>2000</v>
      </c>
      <c r="H15" s="15">
        <v>200</v>
      </c>
      <c r="I15" s="15">
        <v>2800</v>
      </c>
      <c r="J15" s="15">
        <v>4800</v>
      </c>
      <c r="K15" s="15">
        <v>20000</v>
      </c>
      <c r="L15" s="15">
        <v>1200</v>
      </c>
      <c r="M15" s="15">
        <v>2000</v>
      </c>
      <c r="N15" s="10">
        <f>'Top Countries $'!D127</f>
        <v>41780</v>
      </c>
    </row>
    <row r="16" spans="2:14" x14ac:dyDescent="0.3">
      <c r="B16" s="14">
        <v>45778</v>
      </c>
      <c r="C16" s="1" t="s">
        <v>16</v>
      </c>
      <c r="D16" s="15">
        <v>2000</v>
      </c>
      <c r="E16" s="15">
        <v>0</v>
      </c>
      <c r="F16" s="15">
        <f t="shared" si="0"/>
        <v>6380</v>
      </c>
      <c r="G16" s="15">
        <v>3000</v>
      </c>
      <c r="H16" s="15">
        <v>400</v>
      </c>
      <c r="I16" s="15">
        <v>3000</v>
      </c>
      <c r="J16" s="15">
        <v>5000</v>
      </c>
      <c r="K16" s="15">
        <v>26500</v>
      </c>
      <c r="L16" s="15">
        <v>1000</v>
      </c>
      <c r="M16" s="15">
        <v>2000</v>
      </c>
      <c r="N16" s="10">
        <f>'Top Countries $'!D139</f>
        <v>49280</v>
      </c>
    </row>
    <row r="17" spans="2:14" x14ac:dyDescent="0.3">
      <c r="B17" s="14">
        <v>45809</v>
      </c>
      <c r="C17" s="1" t="s">
        <v>16</v>
      </c>
      <c r="D17" s="15">
        <v>2000</v>
      </c>
      <c r="E17" s="15">
        <v>0</v>
      </c>
      <c r="F17" s="15">
        <f t="shared" si="0"/>
        <v>9950</v>
      </c>
      <c r="G17" s="15">
        <v>1800</v>
      </c>
      <c r="H17" s="15">
        <v>200</v>
      </c>
      <c r="I17" s="15">
        <v>3200</v>
      </c>
      <c r="J17" s="15">
        <v>5200</v>
      </c>
      <c r="K17" s="15">
        <v>18000</v>
      </c>
      <c r="L17" s="15">
        <v>1000</v>
      </c>
      <c r="M17" s="15">
        <v>1200</v>
      </c>
      <c r="N17" s="10">
        <f>'Top Countries $'!D151</f>
        <v>42550</v>
      </c>
    </row>
    <row r="18" spans="2:14" x14ac:dyDescent="0.3">
      <c r="B18" s="14">
        <v>45839</v>
      </c>
      <c r="C18" s="1" t="s">
        <v>16</v>
      </c>
      <c r="D18" s="15">
        <v>2000</v>
      </c>
      <c r="E18" s="15">
        <v>0</v>
      </c>
      <c r="F18" s="15">
        <f t="shared" si="0"/>
        <v>9400</v>
      </c>
      <c r="G18" s="15">
        <v>3000</v>
      </c>
      <c r="H18" s="15">
        <v>200</v>
      </c>
      <c r="I18" s="15">
        <v>3400</v>
      </c>
      <c r="J18" s="15">
        <v>5400</v>
      </c>
      <c r="K18" s="15">
        <v>30000</v>
      </c>
      <c r="L18" s="15">
        <v>1600</v>
      </c>
      <c r="M18" s="15">
        <v>1200</v>
      </c>
      <c r="N18" s="10">
        <f>'Top Countries $'!D163</f>
        <v>56200</v>
      </c>
    </row>
    <row r="19" spans="2:14" x14ac:dyDescent="0.3">
      <c r="B19" s="14">
        <v>45870</v>
      </c>
      <c r="C19" s="1" t="s">
        <v>16</v>
      </c>
      <c r="D19" s="15">
        <v>2000</v>
      </c>
      <c r="E19" s="15">
        <v>0</v>
      </c>
      <c r="F19" s="15">
        <f t="shared" si="0"/>
        <v>7280</v>
      </c>
      <c r="G19" s="15">
        <v>3000</v>
      </c>
      <c r="H19" s="15">
        <v>200</v>
      </c>
      <c r="I19" s="15">
        <v>3600</v>
      </c>
      <c r="J19" s="15">
        <v>5600</v>
      </c>
      <c r="K19" s="15">
        <v>17000</v>
      </c>
      <c r="L19" s="15">
        <v>1650</v>
      </c>
      <c r="M19" s="15">
        <v>1200</v>
      </c>
      <c r="N19" s="10">
        <f>'Top Countries $'!D175</f>
        <v>41530</v>
      </c>
    </row>
    <row r="20" spans="2:14" x14ac:dyDescent="0.3">
      <c r="B20" s="14">
        <v>45901</v>
      </c>
      <c r="C20" s="1" t="s">
        <v>16</v>
      </c>
      <c r="D20" s="15">
        <v>2000</v>
      </c>
      <c r="E20" s="15">
        <v>0</v>
      </c>
      <c r="F20" s="15">
        <f t="shared" si="0"/>
        <v>6150</v>
      </c>
      <c r="G20" s="15">
        <v>2500</v>
      </c>
      <c r="H20" s="15">
        <v>550</v>
      </c>
      <c r="I20" s="15">
        <v>3800</v>
      </c>
      <c r="J20" s="15">
        <v>5800</v>
      </c>
      <c r="K20" s="15">
        <v>25000</v>
      </c>
      <c r="L20" s="15">
        <v>1800</v>
      </c>
      <c r="M20" s="15">
        <v>1500</v>
      </c>
      <c r="N20" s="10">
        <f>'Top Countries $'!D187</f>
        <v>49100</v>
      </c>
    </row>
    <row r="21" spans="2:14" x14ac:dyDescent="0.3">
      <c r="B21" s="14">
        <v>45931</v>
      </c>
      <c r="C21" s="1" t="s">
        <v>16</v>
      </c>
      <c r="D21" s="15">
        <v>2000</v>
      </c>
      <c r="E21" s="15">
        <v>0</v>
      </c>
      <c r="F21" s="15">
        <f t="shared" si="0"/>
        <v>7900</v>
      </c>
      <c r="G21" s="15">
        <v>2300</v>
      </c>
      <c r="H21" s="15">
        <v>500</v>
      </c>
      <c r="I21" s="15">
        <v>4000</v>
      </c>
      <c r="J21" s="15">
        <v>6000</v>
      </c>
      <c r="K21" s="15">
        <v>18000</v>
      </c>
      <c r="L21" s="15">
        <v>1800</v>
      </c>
      <c r="M21" s="15">
        <v>1500</v>
      </c>
      <c r="N21" s="10">
        <f>'Top Countries $'!D199</f>
        <v>44000</v>
      </c>
    </row>
    <row r="22" spans="2:14" x14ac:dyDescent="0.3">
      <c r="B22" s="14">
        <v>45962</v>
      </c>
      <c r="C22" s="1" t="s">
        <v>16</v>
      </c>
      <c r="D22" s="15">
        <v>2000</v>
      </c>
      <c r="E22" s="15">
        <v>0</v>
      </c>
      <c r="F22" s="15">
        <f t="shared" si="0"/>
        <v>7200</v>
      </c>
      <c r="G22" s="15">
        <v>2000</v>
      </c>
      <c r="H22" s="15">
        <v>350</v>
      </c>
      <c r="I22" s="15">
        <v>4200</v>
      </c>
      <c r="J22" s="15">
        <v>6200</v>
      </c>
      <c r="K22" s="15">
        <v>15000</v>
      </c>
      <c r="L22" s="15">
        <v>1850</v>
      </c>
      <c r="M22" s="15">
        <v>1200</v>
      </c>
      <c r="N22" s="10">
        <f>'Top Countries $'!D211</f>
        <v>40000</v>
      </c>
    </row>
    <row r="23" spans="2:14" x14ac:dyDescent="0.3">
      <c r="B23" s="14">
        <v>45992</v>
      </c>
      <c r="C23" s="1" t="s">
        <v>16</v>
      </c>
      <c r="D23" s="15">
        <v>2000</v>
      </c>
      <c r="E23" s="15">
        <v>0</v>
      </c>
      <c r="F23" s="15">
        <f t="shared" si="0"/>
        <v>7000</v>
      </c>
      <c r="G23" s="15">
        <v>2500</v>
      </c>
      <c r="H23" s="15">
        <v>400</v>
      </c>
      <c r="I23" s="15">
        <v>4400</v>
      </c>
      <c r="J23" s="15">
        <v>6400</v>
      </c>
      <c r="K23" s="15">
        <v>24000</v>
      </c>
      <c r="L23" s="15">
        <v>1900</v>
      </c>
      <c r="M23" s="15">
        <v>1300</v>
      </c>
      <c r="N23" s="10">
        <f>'Top Countries $'!D223</f>
        <v>49900</v>
      </c>
    </row>
    <row r="24" spans="2:14" x14ac:dyDescent="0.3">
      <c r="B24" s="14">
        <v>46023</v>
      </c>
      <c r="C24" s="1" t="s">
        <v>16</v>
      </c>
      <c r="D24" s="15">
        <v>2000</v>
      </c>
      <c r="E24" s="15">
        <v>0</v>
      </c>
      <c r="F24" s="15">
        <f t="shared" si="0"/>
        <v>17900</v>
      </c>
      <c r="G24" s="15">
        <v>2500</v>
      </c>
      <c r="H24" s="15">
        <v>400</v>
      </c>
      <c r="I24" s="15">
        <v>4500</v>
      </c>
      <c r="J24" s="15">
        <v>7200</v>
      </c>
      <c r="K24" s="15">
        <v>32000</v>
      </c>
      <c r="L24" s="15">
        <v>2000</v>
      </c>
      <c r="M24" s="15">
        <v>1500</v>
      </c>
      <c r="N24" s="10">
        <f>'Top Countries $'!D235</f>
        <v>70000</v>
      </c>
    </row>
    <row r="25" spans="2:14" x14ac:dyDescent="0.3">
      <c r="B25" s="14">
        <v>46054</v>
      </c>
      <c r="C25" s="1" t="s">
        <v>16</v>
      </c>
      <c r="D25" s="15">
        <v>2000</v>
      </c>
      <c r="E25" s="15">
        <v>0</v>
      </c>
      <c r="F25" s="15">
        <f t="shared" si="0"/>
        <v>15150</v>
      </c>
      <c r="G25" s="15">
        <v>3000</v>
      </c>
      <c r="H25" s="15">
        <v>600</v>
      </c>
      <c r="I25" s="15">
        <v>5000</v>
      </c>
      <c r="J25" s="15">
        <v>7000</v>
      </c>
      <c r="K25" s="15">
        <v>25000</v>
      </c>
      <c r="L25" s="15">
        <v>3000</v>
      </c>
      <c r="M25" s="15">
        <v>2500</v>
      </c>
      <c r="N25" s="10">
        <f>'Top Countries $'!D247</f>
        <v>63250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Countries $</vt:lpstr>
      <vt:lpstr>Income Source $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Beattie</dc:creator>
  <cp:lastModifiedBy>Karen Beattie</cp:lastModifiedBy>
  <cp:lastPrinted>2025-12-17T07:15:26Z</cp:lastPrinted>
  <dcterms:created xsi:type="dcterms:W3CDTF">2024-08-17T04:09:30Z</dcterms:created>
  <dcterms:modified xsi:type="dcterms:W3CDTF">2026-09-22T22:07:11Z</dcterms:modified>
</cp:coreProperties>
</file>