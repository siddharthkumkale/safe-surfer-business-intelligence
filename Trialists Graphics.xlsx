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afesurfer-my.sharepoint.com/personal/admin_safesurfer_io/Documents/Karen/ADMINISTRATION/ACCOUNTING/DATA ANALYSIS/DM 2026/DM 2 - February 2026/Trialists &amp; Active Subs/"/>
    </mc:Choice>
  </mc:AlternateContent>
  <xr:revisionPtr revIDLastSave="3641" documentId="8_{DCDEA1EE-432A-4B2E-9E7E-B55F943C168B}" xr6:coauthVersionLast="47" xr6:coauthVersionMax="47" xr10:uidLastSave="{34B74453-E55F-40C0-88EA-E79A09736E49}"/>
  <bookViews>
    <workbookView xWindow="192" yWindow="12" windowWidth="23016" windowHeight="12216" tabRatio="658" xr2:uid="{D18D926E-221D-4CFB-9F95-63CCB45A4168}"/>
  </bookViews>
  <sheets>
    <sheet name="Trialists Graphics" sheetId="37" r:id="rId1"/>
    <sheet name="TRIALIST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26" i="5" l="1"/>
  <c r="BE26" i="5"/>
  <c r="BD26" i="5"/>
  <c r="BF25" i="5"/>
  <c r="BE25" i="5"/>
  <c r="BD25" i="5"/>
  <c r="BF19" i="5"/>
  <c r="AR26" i="5"/>
  <c r="AR25" i="5"/>
  <c r="AR24" i="5"/>
  <c r="AR23" i="5"/>
  <c r="AR22" i="5"/>
  <c r="AR21" i="5"/>
  <c r="G54" i="5"/>
  <c r="F54" i="5"/>
  <c r="E54" i="5"/>
  <c r="G53" i="5"/>
  <c r="F53" i="5"/>
  <c r="E53" i="5"/>
  <c r="AY54" i="5"/>
  <c r="AM53" i="5" l="1"/>
  <c r="U53" i="5"/>
  <c r="AA53" i="5"/>
  <c r="AG53" i="5"/>
  <c r="AY53" i="5" s="1"/>
  <c r="U54" i="5"/>
  <c r="AA54" i="5"/>
  <c r="AM54" i="5"/>
  <c r="BG26" i="5" l="1"/>
  <c r="BL26" i="5" s="1"/>
  <c r="BG25" i="5"/>
  <c r="AM51" i="5"/>
  <c r="AM50" i="5"/>
  <c r="AY51" i="5"/>
  <c r="AG50" i="5"/>
  <c r="AY50" i="5" s="1"/>
  <c r="AA51" i="5"/>
  <c r="AA50" i="5"/>
  <c r="U51" i="5"/>
  <c r="U50" i="5"/>
  <c r="O49" i="5"/>
  <c r="G51" i="5"/>
  <c r="F51" i="5"/>
  <c r="E51" i="5"/>
  <c r="G50" i="5"/>
  <c r="F50" i="5"/>
  <c r="E50" i="5"/>
  <c r="BD24" i="5"/>
  <c r="BD23" i="5"/>
  <c r="BD22" i="5"/>
  <c r="BD21" i="5"/>
  <c r="BD20" i="5"/>
  <c r="BD19" i="5"/>
  <c r="BD18" i="5"/>
  <c r="BD17" i="5"/>
  <c r="BD16" i="5"/>
  <c r="BD15" i="5"/>
  <c r="BD14" i="5"/>
  <c r="BD13" i="5"/>
  <c r="AY18" i="5"/>
  <c r="BF14" i="5" s="1"/>
  <c r="AY21" i="5"/>
  <c r="BF15" i="5" s="1"/>
  <c r="AY24" i="5"/>
  <c r="BF16" i="5" s="1"/>
  <c r="AY27" i="5"/>
  <c r="BF17" i="5" s="1"/>
  <c r="AY30" i="5"/>
  <c r="BF18" i="5" s="1"/>
  <c r="AY33" i="5"/>
  <c r="AY36" i="5"/>
  <c r="BF20" i="5" s="1"/>
  <c r="AY39" i="5"/>
  <c r="BF21" i="5" s="1"/>
  <c r="AY42" i="5"/>
  <c r="BF22" i="5" s="1"/>
  <c r="AY45" i="5"/>
  <c r="BF23" i="5" s="1"/>
  <c r="AY15" i="5"/>
  <c r="BF13" i="5" s="1"/>
  <c r="G48" i="5"/>
  <c r="F48" i="5"/>
  <c r="E48" i="5"/>
  <c r="G47" i="5"/>
  <c r="F47" i="5"/>
  <c r="E47" i="5"/>
  <c r="BL25" i="5" l="1"/>
  <c r="AS25" i="5"/>
  <c r="AS26" i="5"/>
  <c r="AM47" i="5"/>
  <c r="AY48" i="5"/>
  <c r="BF24" i="5" s="1"/>
  <c r="AG47" i="5"/>
  <c r="AY47" i="5" s="1"/>
  <c r="BE24" i="5" s="1"/>
  <c r="AA48" i="5"/>
  <c r="AA47" i="5"/>
  <c r="U48" i="5"/>
  <c r="U47" i="5"/>
  <c r="O46" i="5"/>
  <c r="AM44" i="5"/>
  <c r="AG44" i="5"/>
  <c r="AY44" i="5" s="1"/>
  <c r="BE23" i="5" s="1"/>
  <c r="BG23" i="5" s="1"/>
  <c r="AA45" i="5"/>
  <c r="AA44" i="5"/>
  <c r="U45" i="5"/>
  <c r="U44" i="5"/>
  <c r="F45" i="5"/>
  <c r="O43" i="5"/>
  <c r="G45" i="5"/>
  <c r="E45" i="5"/>
  <c r="G44" i="5"/>
  <c r="F44" i="5"/>
  <c r="E44" i="5"/>
  <c r="BG24" i="5" l="1"/>
  <c r="AS24" i="5" s="1"/>
  <c r="AS23" i="5"/>
  <c r="BL23" i="5"/>
  <c r="AM41" i="5"/>
  <c r="AM42" i="5"/>
  <c r="AG41" i="5"/>
  <c r="AY41" i="5" s="1"/>
  <c r="BE22" i="5" s="1"/>
  <c r="BG22" i="5" s="1"/>
  <c r="AA41" i="5"/>
  <c r="AA42" i="5"/>
  <c r="U41" i="5"/>
  <c r="L42" i="5"/>
  <c r="U42" i="5" s="1"/>
  <c r="BL24" i="5" l="1"/>
  <c r="AS22" i="5"/>
  <c r="BL22" i="5"/>
  <c r="G42" i="5"/>
  <c r="F42" i="5"/>
  <c r="E42" i="5"/>
  <c r="F41" i="5"/>
  <c r="E41" i="5"/>
  <c r="O40" i="5"/>
  <c r="G41" i="5"/>
  <c r="F39" i="5"/>
  <c r="O37" i="5"/>
  <c r="AA39" i="5" l="1"/>
  <c r="U39" i="5"/>
  <c r="O39" i="5"/>
  <c r="AM39" i="5" s="1"/>
  <c r="E39" i="5"/>
  <c r="AG38" i="5"/>
  <c r="AY38" i="5" s="1"/>
  <c r="BE21" i="5" s="1"/>
  <c r="BG21" i="5" s="1"/>
  <c r="AA38" i="5"/>
  <c r="U38" i="5"/>
  <c r="O38" i="5"/>
  <c r="AM38" i="5" s="1"/>
  <c r="F38" i="5"/>
  <c r="E38" i="5"/>
  <c r="AR20" i="5"/>
  <c r="AG35" i="5"/>
  <c r="AY35" i="5" s="1"/>
  <c r="BE20" i="5" s="1"/>
  <c r="BG20" i="5" s="1"/>
  <c r="AA36" i="5"/>
  <c r="AA35" i="5"/>
  <c r="U36" i="5"/>
  <c r="U35" i="5"/>
  <c r="AS20" i="5" l="1"/>
  <c r="BL20" i="5"/>
  <c r="AS21" i="5"/>
  <c r="BL21" i="5"/>
  <c r="G39" i="5"/>
  <c r="G38" i="5"/>
  <c r="E36" i="5"/>
  <c r="F35" i="5"/>
  <c r="E35" i="5"/>
  <c r="O36" i="5"/>
  <c r="O35" i="5"/>
  <c r="AM35" i="5" s="1"/>
  <c r="O33" i="5"/>
  <c r="O32" i="5"/>
  <c r="G36" i="5" l="1"/>
  <c r="AM36" i="5"/>
  <c r="G35" i="5"/>
  <c r="AA29" i="5"/>
  <c r="AA30" i="5"/>
  <c r="E29" i="5"/>
  <c r="E30" i="5"/>
  <c r="AR18" i="5" l="1"/>
  <c r="U29" i="5"/>
  <c r="U30" i="5"/>
  <c r="AA15" i="5" l="1"/>
  <c r="AA14" i="5"/>
  <c r="AA18" i="5"/>
  <c r="AA17" i="5"/>
  <c r="AA21" i="5"/>
  <c r="AA20" i="5"/>
  <c r="AA24" i="5"/>
  <c r="AA23" i="5"/>
  <c r="AA27" i="5"/>
  <c r="AA26" i="5"/>
  <c r="AA33" i="5"/>
  <c r="U24" i="5" l="1"/>
  <c r="AG17" i="5"/>
  <c r="AY17" i="5" s="1"/>
  <c r="BE14" i="5" s="1"/>
  <c r="BG14" i="5" s="1"/>
  <c r="F17" i="5"/>
  <c r="E18" i="5"/>
  <c r="AG20" i="5"/>
  <c r="AY20" i="5" s="1"/>
  <c r="BE15" i="5" s="1"/>
  <c r="BG15" i="5" s="1"/>
  <c r="F20" i="5"/>
  <c r="U33" i="5"/>
  <c r="U21" i="5"/>
  <c r="E14" i="5"/>
  <c r="E17" i="5"/>
  <c r="E24" i="5"/>
  <c r="U27" i="5"/>
  <c r="E27" i="5"/>
  <c r="E33" i="5"/>
  <c r="E23" i="5"/>
  <c r="E21" i="5"/>
  <c r="AG14" i="5"/>
  <c r="AY14" i="5" s="1"/>
  <c r="BE13" i="5" s="1"/>
  <c r="BG13" i="5" s="1"/>
  <c r="F14" i="5"/>
  <c r="E15" i="5"/>
  <c r="E26" i="5"/>
  <c r="AG26" i="5"/>
  <c r="AY26" i="5" s="1"/>
  <c r="BE17" i="5" s="1"/>
  <c r="BG17" i="5" s="1"/>
  <c r="F26" i="5"/>
  <c r="U18" i="5"/>
  <c r="E20" i="5"/>
  <c r="AG29" i="5"/>
  <c r="AY29" i="5" s="1"/>
  <c r="BE18" i="5" s="1"/>
  <c r="BG18" i="5" s="1"/>
  <c r="F29" i="5"/>
  <c r="AG23" i="5"/>
  <c r="AY23" i="5" s="1"/>
  <c r="BE16" i="5" s="1"/>
  <c r="BG16" i="5" s="1"/>
  <c r="F23" i="5"/>
  <c r="U15" i="5"/>
  <c r="U14" i="5"/>
  <c r="AR13" i="5"/>
  <c r="U26" i="5"/>
  <c r="AR17" i="5"/>
  <c r="U20" i="5"/>
  <c r="AR15" i="5"/>
  <c r="U23" i="5"/>
  <c r="AR16" i="5"/>
  <c r="U17" i="5"/>
  <c r="AR14" i="5"/>
  <c r="O23" i="5"/>
  <c r="O15" i="5"/>
  <c r="G15" i="5" s="1"/>
  <c r="O26" i="5"/>
  <c r="O24" i="5"/>
  <c r="O29" i="5"/>
  <c r="O27" i="5"/>
  <c r="O20" i="5"/>
  <c r="O18" i="5"/>
  <c r="G18" i="5" s="1"/>
  <c r="O14" i="5"/>
  <c r="G14" i="5" s="1"/>
  <c r="O30" i="5"/>
  <c r="O21" i="5"/>
  <c r="O17" i="5"/>
  <c r="G17" i="5" s="1"/>
  <c r="AS18" i="5" l="1"/>
  <c r="BL18" i="5"/>
  <c r="AS17" i="5"/>
  <c r="BL17" i="5"/>
  <c r="AS15" i="5"/>
  <c r="BL15" i="5"/>
  <c r="AS16" i="5"/>
  <c r="BL16" i="5"/>
  <c r="AS14" i="5"/>
  <c r="BL14" i="5"/>
  <c r="AS13" i="5"/>
  <c r="BL13" i="5"/>
  <c r="AM24" i="5"/>
  <c r="G24" i="5"/>
  <c r="AM20" i="5"/>
  <c r="G20" i="5"/>
  <c r="AM26" i="5"/>
  <c r="G26" i="5"/>
  <c r="AM27" i="5"/>
  <c r="G27" i="5"/>
  <c r="AM29" i="5"/>
  <c r="G29" i="5"/>
  <c r="AM21" i="5"/>
  <c r="G21" i="5"/>
  <c r="AM30" i="5"/>
  <c r="G30" i="5"/>
  <c r="AM23" i="5"/>
  <c r="G23" i="5"/>
  <c r="AM17" i="5"/>
  <c r="AM15" i="5"/>
  <c r="AM18" i="5"/>
  <c r="AM14" i="5"/>
  <c r="AA32" i="5" l="1"/>
  <c r="AG32" i="5" l="1"/>
  <c r="AY32" i="5" s="1"/>
  <c r="BE19" i="5" s="1"/>
  <c r="BG19" i="5" s="1"/>
  <c r="AS19" i="5" l="1"/>
  <c r="BL19" i="5"/>
  <c r="E32" i="5"/>
  <c r="F32" i="5"/>
  <c r="U32" i="5"/>
  <c r="AR19" i="5"/>
  <c r="AM33" i="5" l="1"/>
  <c r="G33" i="5"/>
  <c r="AM32" i="5" l="1"/>
  <c r="G32" i="5"/>
</calcChain>
</file>

<file path=xl/sharedStrings.xml><?xml version="1.0" encoding="utf-8"?>
<sst xmlns="http://schemas.openxmlformats.org/spreadsheetml/2006/main" count="493" uniqueCount="38">
  <si>
    <t>Google</t>
  </si>
  <si>
    <t>NO</t>
  </si>
  <si>
    <t>TOTAL</t>
  </si>
  <si>
    <t>MAR</t>
  </si>
  <si>
    <t>CB iOS</t>
  </si>
  <si>
    <t>CB Web</t>
  </si>
  <si>
    <t>JUL</t>
  </si>
  <si>
    <t>JAN</t>
  </si>
  <si>
    <t>FEB</t>
  </si>
  <si>
    <t>APR</t>
  </si>
  <si>
    <t>MAY</t>
  </si>
  <si>
    <t>JUN</t>
  </si>
  <si>
    <t>MONTH</t>
  </si>
  <si>
    <t>This month</t>
  </si>
  <si>
    <t>Next mth 1-7</t>
  </si>
  <si>
    <t>SOURCE</t>
  </si>
  <si>
    <t>YEAR</t>
  </si>
  <si>
    <t>This Month</t>
  </si>
  <si>
    <t>Next month 1-7</t>
  </si>
  <si>
    <t>THIS MONTH</t>
  </si>
  <si>
    <t>NEXT MONTH 1-7 DAYS</t>
  </si>
  <si>
    <t>NO RESPONSES</t>
  </si>
  <si>
    <t xml:space="preserve"> </t>
  </si>
  <si>
    <t>SUB # FREETRIAL CONVERSION</t>
  </si>
  <si>
    <t>% CONVERTED</t>
  </si>
  <si>
    <t># TOTAL</t>
  </si>
  <si>
    <t>Column1</t>
  </si>
  <si>
    <t>AUG</t>
  </si>
  <si>
    <t>SEP</t>
  </si>
  <si>
    <t>OCT</t>
  </si>
  <si>
    <t>NOV</t>
  </si>
  <si>
    <t>Trialists</t>
  </si>
  <si>
    <t>DEC</t>
  </si>
  <si>
    <t>This Month + 7 Days</t>
  </si>
  <si>
    <t>ACTIVE TRIALISTS This Month + 7 days</t>
  </si>
  <si>
    <t>TOTAL ACTIVE PER SOURCE</t>
  </si>
  <si>
    <t>TOTAL TRIALISTS ACTIVE</t>
  </si>
  <si>
    <t>TOTAL2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</si>
</sst>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3366FF"/>
      <name val="Aptos Narrow"/>
      <family val="2"/>
      <scheme val="minor"/>
    </font>
    <font>
      <b/>
      <sz val="16"/>
      <color rgb="FF3366FF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D5FFD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1" xfId="0" applyBorder="1"/>
    <xf numFmtId="0" fontId="2" fillId="0" borderId="0" xfId="0" applyFont="1"/>
    <xf numFmtId="1" fontId="0" fillId="0" borderId="0" xfId="0" applyNumberFormat="1"/>
    <xf numFmtId="0" fontId="0" fillId="0" borderId="0" xfId="0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8" fillId="2" borderId="0" xfId="0" applyFont="1" applyFill="1"/>
    <xf numFmtId="0" fontId="0" fillId="2" borderId="0" xfId="0" applyFill="1"/>
    <xf numFmtId="0" fontId="4" fillId="2" borderId="0" xfId="0" applyFont="1" applyFill="1"/>
    <xf numFmtId="0" fontId="9" fillId="0" borderId="0" xfId="0" applyFont="1"/>
    <xf numFmtId="17" fontId="10" fillId="2" borderId="0" xfId="0" applyNumberFormat="1" applyFon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10">
    <dxf>
      <fill>
        <patternFill patternType="solid">
          <fgColor indexed="64"/>
          <bgColor rgb="FFD5FFD5"/>
        </patternFill>
      </fill>
    </dxf>
    <dxf>
      <fill>
        <patternFill patternType="solid">
          <fgColor indexed="64"/>
          <bgColor rgb="FFD5FFD5"/>
        </patternFill>
      </fill>
    </dxf>
    <dxf>
      <fill>
        <patternFill patternType="solid">
          <fgColor indexed="64"/>
          <bgColor rgb="FFD5FFD5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D5D883A-5464-420A-94F2-F3EE3DC2CFE9}"/>
  </tableStyles>
  <colors>
    <mruColors>
      <color rgb="FFD5FFD5"/>
      <color rgb="FF0083E6"/>
      <color rgb="FF008DF6"/>
      <color rgb="FF3366FF"/>
      <color rgb="FF66FF99"/>
      <color rgb="FFA7A7FF"/>
      <color rgb="FF9999FF"/>
      <color rgb="FF0CDFEA"/>
      <color rgb="FFB6F9FC"/>
      <color rgb="FFFF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75000"/>
                  </a:schemeClr>
                </a:solidFill>
              </a:rPr>
              <a:t>TOTAL TRIALISTS </a:t>
            </a:r>
            <a:r>
              <a:rPr lang="en-US" b="1">
                <a:solidFill>
                  <a:sysClr val="windowText" lastClr="000000"/>
                </a:solidFill>
              </a:rPr>
              <a:t>vs</a:t>
            </a:r>
            <a:r>
              <a:rPr lang="en-US" b="1">
                <a:solidFill>
                  <a:srgbClr val="3366FF"/>
                </a:solidFill>
              </a:rPr>
              <a:t> TOTAL TRIALISTS</a:t>
            </a:r>
            <a:r>
              <a:rPr lang="en-US" b="1" baseline="0">
                <a:solidFill>
                  <a:srgbClr val="3366FF"/>
                </a:solidFill>
              </a:rPr>
              <a:t> ACTIVE This Month + 7 Days</a:t>
            </a:r>
            <a:endParaRPr lang="en-US" b="1">
              <a:solidFill>
                <a:srgbClr val="3366FF"/>
              </a:solidFill>
            </a:endParaRPr>
          </a:p>
        </c:rich>
      </c:tx>
      <c:layout>
        <c:manualLayout>
          <c:xMode val="edge"/>
          <c:yMode val="edge"/>
          <c:x val="2.711992114513434E-2"/>
          <c:y val="1.13791549638410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TRIALISTS!$AR$12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TRIALISTS!$AP$13:$AQ$26</c15:sqref>
                  </c15:fullRef>
                </c:ext>
              </c:extLst>
              <c:f>TRIALISTS!$AP$15:$AQ$26</c:f>
              <c:multiLvlStrCache>
                <c:ptCount val="12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</c:lvl>
                <c:lvl>
                  <c:pt idx="10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TRIALISTS!$AR$13:$AR$26</c15:sqref>
                  </c15:fullRef>
                </c:ext>
              </c:extLst>
              <c:f>TRIALISTS!$AR$15:$AR$26</c:f>
              <c:numCache>
                <c:formatCode>General</c:formatCode>
                <c:ptCount val="12"/>
                <c:pt idx="0">
                  <c:v>432</c:v>
                </c:pt>
                <c:pt idx="1">
                  <c:v>522</c:v>
                </c:pt>
                <c:pt idx="2">
                  <c:v>654</c:v>
                </c:pt>
                <c:pt idx="3">
                  <c:v>781</c:v>
                </c:pt>
                <c:pt idx="4">
                  <c:v>670</c:v>
                </c:pt>
                <c:pt idx="5">
                  <c:v>461</c:v>
                </c:pt>
                <c:pt idx="6">
                  <c:v>425</c:v>
                </c:pt>
                <c:pt idx="7">
                  <c:v>369</c:v>
                </c:pt>
                <c:pt idx="8">
                  <c:v>333</c:v>
                </c:pt>
                <c:pt idx="9">
                  <c:v>330</c:v>
                </c:pt>
                <c:pt idx="10">
                  <c:v>357</c:v>
                </c:pt>
                <c:pt idx="11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0-4FF7-905C-F500A7DD58EE}"/>
            </c:ext>
          </c:extLst>
        </c:ser>
        <c:ser>
          <c:idx val="1"/>
          <c:order val="1"/>
          <c:tx>
            <c:strRef>
              <c:f>TRIALISTS!$AS$12</c:f>
              <c:strCache>
                <c:ptCount val="1"/>
                <c:pt idx="0">
                  <c:v>TOTAL2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TRIALISTS!$AP$13:$AQ$26</c15:sqref>
                  </c15:fullRef>
                </c:ext>
              </c:extLst>
              <c:f>TRIALISTS!$AP$15:$AQ$26</c:f>
              <c:multiLvlStrCache>
                <c:ptCount val="12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</c:lvl>
                <c:lvl>
                  <c:pt idx="10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TRIALISTS!$AS$13:$AS$26</c15:sqref>
                  </c15:fullRef>
                </c:ext>
              </c:extLst>
              <c:f>TRIALISTS!$AS$15:$AS$26</c:f>
              <c:numCache>
                <c:formatCode>General</c:formatCode>
                <c:ptCount val="12"/>
                <c:pt idx="0">
                  <c:v>233</c:v>
                </c:pt>
                <c:pt idx="1">
                  <c:v>232</c:v>
                </c:pt>
                <c:pt idx="2">
                  <c:v>231</c:v>
                </c:pt>
                <c:pt idx="3">
                  <c:v>276</c:v>
                </c:pt>
                <c:pt idx="4">
                  <c:v>242</c:v>
                </c:pt>
                <c:pt idx="5">
                  <c:v>152</c:v>
                </c:pt>
                <c:pt idx="6">
                  <c:v>237</c:v>
                </c:pt>
                <c:pt idx="7">
                  <c:v>196</c:v>
                </c:pt>
                <c:pt idx="8">
                  <c:v>166</c:v>
                </c:pt>
                <c:pt idx="9">
                  <c:v>181</c:v>
                </c:pt>
                <c:pt idx="10">
                  <c:v>202</c:v>
                </c:pt>
                <c:pt idx="11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E-47C2-9C6B-258A45C050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967267136"/>
        <c:axId val="967270016"/>
      </c:barChart>
      <c:catAx>
        <c:axId val="96726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70016"/>
        <c:crosses val="autoZero"/>
        <c:auto val="1"/>
        <c:lblAlgn val="ctr"/>
        <c:lblOffset val="100"/>
        <c:noMultiLvlLbl val="0"/>
      </c:catAx>
      <c:valAx>
        <c:axId val="967270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6726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3366FF"/>
                </a:solidFill>
              </a:rPr>
              <a:t>TOTAL SOURCE TRIALISTS</a:t>
            </a:r>
            <a:endParaRPr lang="en-US" b="1">
              <a:solidFill>
                <a:srgbClr val="30C1BE"/>
              </a:solidFill>
            </a:endParaRPr>
          </a:p>
        </c:rich>
      </c:tx>
      <c:layout>
        <c:manualLayout>
          <c:xMode val="edge"/>
          <c:yMode val="edge"/>
          <c:x val="1.4630621289284608E-2"/>
          <c:y val="3.23279514321183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TRIALISTS!$U$12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rgbClr val="B6F9F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TRIALISTS!$R$13:$T$54</c15:sqref>
                  </c15:fullRef>
                </c:ext>
              </c:extLst>
              <c:f>TRIALISTS!$R$19:$T$54</c:f>
              <c:multiLvlStrCache>
                <c:ptCount val="36"/>
                <c:lvl>
                  <c:pt idx="0">
                    <c:v>CB iOS</c:v>
                  </c:pt>
                  <c:pt idx="1">
                    <c:v>CB Web</c:v>
                  </c:pt>
                  <c:pt idx="2">
                    <c:v>Google</c:v>
                  </c:pt>
                  <c:pt idx="3">
                    <c:v>CB iOS</c:v>
                  </c:pt>
                  <c:pt idx="4">
                    <c:v>CB Web</c:v>
                  </c:pt>
                  <c:pt idx="5">
                    <c:v>Google</c:v>
                  </c:pt>
                  <c:pt idx="6">
                    <c:v>CB iOS</c:v>
                  </c:pt>
                  <c:pt idx="7">
                    <c:v>CB Web</c:v>
                  </c:pt>
                  <c:pt idx="8">
                    <c:v>Google</c:v>
                  </c:pt>
                  <c:pt idx="9">
                    <c:v>CB iOS</c:v>
                  </c:pt>
                  <c:pt idx="10">
                    <c:v>CB Web</c:v>
                  </c:pt>
                  <c:pt idx="11">
                    <c:v>Google</c:v>
                  </c:pt>
                  <c:pt idx="12">
                    <c:v>CB iOS</c:v>
                  </c:pt>
                  <c:pt idx="13">
                    <c:v>CB Web</c:v>
                  </c:pt>
                  <c:pt idx="14">
                    <c:v>Google</c:v>
                  </c:pt>
                  <c:pt idx="15">
                    <c:v>CB iOS</c:v>
                  </c:pt>
                  <c:pt idx="16">
                    <c:v>CB Web</c:v>
                  </c:pt>
                  <c:pt idx="17">
                    <c:v>Google</c:v>
                  </c:pt>
                  <c:pt idx="18">
                    <c:v>CB iOS</c:v>
                  </c:pt>
                  <c:pt idx="19">
                    <c:v>CB Web</c:v>
                  </c:pt>
                  <c:pt idx="20">
                    <c:v>Google</c:v>
                  </c:pt>
                  <c:pt idx="21">
                    <c:v>CB iOS</c:v>
                  </c:pt>
                  <c:pt idx="22">
                    <c:v>CB Web</c:v>
                  </c:pt>
                  <c:pt idx="23">
                    <c:v>Google</c:v>
                  </c:pt>
                  <c:pt idx="24">
                    <c:v>CB iOS</c:v>
                  </c:pt>
                  <c:pt idx="25">
                    <c:v>CB Web</c:v>
                  </c:pt>
                  <c:pt idx="26">
                    <c:v>Google</c:v>
                  </c:pt>
                  <c:pt idx="27">
                    <c:v>CB iOS</c:v>
                  </c:pt>
                  <c:pt idx="28">
                    <c:v>CB Web</c:v>
                  </c:pt>
                  <c:pt idx="29">
                    <c:v>Google</c:v>
                  </c:pt>
                  <c:pt idx="30">
                    <c:v>CB iOS</c:v>
                  </c:pt>
                  <c:pt idx="31">
                    <c:v>CB Web</c:v>
                  </c:pt>
                  <c:pt idx="32">
                    <c:v>Google</c:v>
                  </c:pt>
                  <c:pt idx="33">
                    <c:v>CB iOS</c:v>
                  </c:pt>
                  <c:pt idx="34">
                    <c:v>CB Web</c:v>
                  </c:pt>
                  <c:pt idx="35">
                    <c:v>Google</c:v>
                  </c:pt>
                </c:lvl>
                <c:lvl>
                  <c:pt idx="0">
                    <c:v>MAR</c:v>
                  </c:pt>
                  <c:pt idx="3">
                    <c:v>APR</c:v>
                  </c:pt>
                  <c:pt idx="6">
                    <c:v>MAY</c:v>
                  </c:pt>
                  <c:pt idx="9">
                    <c:v>JUN</c:v>
                  </c:pt>
                  <c:pt idx="12">
                    <c:v>JUL</c:v>
                  </c:pt>
                  <c:pt idx="15">
                    <c:v>AUG</c:v>
                  </c:pt>
                  <c:pt idx="18">
                    <c:v>SEP</c:v>
                  </c:pt>
                  <c:pt idx="21">
                    <c:v>OCT</c:v>
                  </c:pt>
                  <c:pt idx="24">
                    <c:v>NOV</c:v>
                  </c:pt>
                  <c:pt idx="27">
                    <c:v>DEC</c:v>
                  </c:pt>
                  <c:pt idx="30">
                    <c:v>JAN</c:v>
                  </c:pt>
                  <c:pt idx="33">
                    <c:v>FEB</c:v>
                  </c:pt>
                </c:lvl>
                <c:lvl>
                  <c:pt idx="30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TRIALISTS!$U$13:$U$54</c15:sqref>
                  </c15:fullRef>
                </c:ext>
              </c:extLst>
              <c:f>TRIALISTS!$U$19:$U$54</c:f>
              <c:numCache>
                <c:formatCode>General</c:formatCode>
                <c:ptCount val="36"/>
                <c:pt idx="1">
                  <c:v>317</c:v>
                </c:pt>
                <c:pt idx="2">
                  <c:v>115</c:v>
                </c:pt>
                <c:pt idx="4">
                  <c:v>406</c:v>
                </c:pt>
                <c:pt idx="5">
                  <c:v>116</c:v>
                </c:pt>
                <c:pt idx="7">
                  <c:v>501</c:v>
                </c:pt>
                <c:pt idx="8">
                  <c:v>153</c:v>
                </c:pt>
                <c:pt idx="10">
                  <c:v>587</c:v>
                </c:pt>
                <c:pt idx="11">
                  <c:v>194</c:v>
                </c:pt>
                <c:pt idx="13">
                  <c:v>496</c:v>
                </c:pt>
                <c:pt idx="14">
                  <c:v>174</c:v>
                </c:pt>
                <c:pt idx="16">
                  <c:v>376</c:v>
                </c:pt>
                <c:pt idx="17">
                  <c:v>85</c:v>
                </c:pt>
                <c:pt idx="19">
                  <c:v>262</c:v>
                </c:pt>
                <c:pt idx="20">
                  <c:v>163</c:v>
                </c:pt>
                <c:pt idx="22">
                  <c:v>265</c:v>
                </c:pt>
                <c:pt idx="23">
                  <c:v>104</c:v>
                </c:pt>
                <c:pt idx="25">
                  <c:v>216</c:v>
                </c:pt>
                <c:pt idx="26">
                  <c:v>117</c:v>
                </c:pt>
                <c:pt idx="28">
                  <c:v>221</c:v>
                </c:pt>
                <c:pt idx="29">
                  <c:v>109</c:v>
                </c:pt>
                <c:pt idx="31">
                  <c:v>229</c:v>
                </c:pt>
                <c:pt idx="32">
                  <c:v>128</c:v>
                </c:pt>
                <c:pt idx="34">
                  <c:v>212</c:v>
                </c:pt>
                <c:pt idx="35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B-48BC-9E7C-4A0ECF6D5D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967267136"/>
        <c:axId val="967270016"/>
      </c:barChart>
      <c:catAx>
        <c:axId val="96726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70016"/>
        <c:crosses val="autoZero"/>
        <c:auto val="1"/>
        <c:lblAlgn val="ctr"/>
        <c:lblOffset val="100"/>
        <c:noMultiLvlLbl val="0"/>
      </c:catAx>
      <c:valAx>
        <c:axId val="967270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6726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3366FF"/>
                </a:solidFill>
              </a:rPr>
              <a:t>TRIALISTS THIS</a:t>
            </a:r>
            <a:r>
              <a:rPr lang="en-US" b="1" baseline="0">
                <a:solidFill>
                  <a:srgbClr val="3366FF"/>
                </a:solidFill>
              </a:rPr>
              <a:t> MONTH</a:t>
            </a:r>
            <a:endParaRPr lang="en-US" b="1">
              <a:solidFill>
                <a:srgbClr val="30C1BE"/>
              </a:solidFill>
            </a:endParaRPr>
          </a:p>
        </c:rich>
      </c:tx>
      <c:layout>
        <c:manualLayout>
          <c:xMode val="edge"/>
          <c:yMode val="edge"/>
          <c:x val="1.5104270067610639E-2"/>
          <c:y val="2.777767124572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TRIALISTS!$AA$12</c:f>
              <c:strCache>
                <c:ptCount val="1"/>
                <c:pt idx="0">
                  <c:v>This Month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TRIALISTS!$X$13:$Z$54</c15:sqref>
                  </c15:fullRef>
                </c:ext>
              </c:extLst>
              <c:f>TRIALISTS!$X$19:$Z$54</c:f>
              <c:multiLvlStrCache>
                <c:ptCount val="36"/>
                <c:lvl>
                  <c:pt idx="0">
                    <c:v>CB iOS</c:v>
                  </c:pt>
                  <c:pt idx="1">
                    <c:v>CB Web</c:v>
                  </c:pt>
                  <c:pt idx="2">
                    <c:v>Google</c:v>
                  </c:pt>
                  <c:pt idx="3">
                    <c:v>CB iOS</c:v>
                  </c:pt>
                  <c:pt idx="4">
                    <c:v>CB Web</c:v>
                  </c:pt>
                  <c:pt idx="5">
                    <c:v>Google</c:v>
                  </c:pt>
                  <c:pt idx="6">
                    <c:v>CB iOS</c:v>
                  </c:pt>
                  <c:pt idx="7">
                    <c:v>CB Web</c:v>
                  </c:pt>
                  <c:pt idx="8">
                    <c:v>Google</c:v>
                  </c:pt>
                  <c:pt idx="9">
                    <c:v>CB iOS</c:v>
                  </c:pt>
                  <c:pt idx="10">
                    <c:v>CB Web</c:v>
                  </c:pt>
                  <c:pt idx="11">
                    <c:v>Google</c:v>
                  </c:pt>
                  <c:pt idx="12">
                    <c:v>CB iOS</c:v>
                  </c:pt>
                  <c:pt idx="13">
                    <c:v>CB Web</c:v>
                  </c:pt>
                  <c:pt idx="14">
                    <c:v>Google</c:v>
                  </c:pt>
                  <c:pt idx="15">
                    <c:v>CB iOS</c:v>
                  </c:pt>
                  <c:pt idx="16">
                    <c:v>CB Web</c:v>
                  </c:pt>
                  <c:pt idx="17">
                    <c:v>Google</c:v>
                  </c:pt>
                  <c:pt idx="18">
                    <c:v>CB iOS</c:v>
                  </c:pt>
                  <c:pt idx="19">
                    <c:v>CB Web</c:v>
                  </c:pt>
                  <c:pt idx="20">
                    <c:v>Google</c:v>
                  </c:pt>
                  <c:pt idx="21">
                    <c:v>CB iOS</c:v>
                  </c:pt>
                  <c:pt idx="22">
                    <c:v>CB Web</c:v>
                  </c:pt>
                  <c:pt idx="23">
                    <c:v>Google</c:v>
                  </c:pt>
                  <c:pt idx="24">
                    <c:v>CB iOS</c:v>
                  </c:pt>
                  <c:pt idx="25">
                    <c:v>CB Web</c:v>
                  </c:pt>
                  <c:pt idx="26">
                    <c:v>Google</c:v>
                  </c:pt>
                  <c:pt idx="27">
                    <c:v>CB iOS</c:v>
                  </c:pt>
                  <c:pt idx="28">
                    <c:v>CB Web</c:v>
                  </c:pt>
                  <c:pt idx="29">
                    <c:v>Google</c:v>
                  </c:pt>
                  <c:pt idx="30">
                    <c:v>CB iOS</c:v>
                  </c:pt>
                  <c:pt idx="31">
                    <c:v>CB Web</c:v>
                  </c:pt>
                  <c:pt idx="32">
                    <c:v>Google</c:v>
                  </c:pt>
                  <c:pt idx="33">
                    <c:v>CB iOS</c:v>
                  </c:pt>
                  <c:pt idx="34">
                    <c:v>CB Web</c:v>
                  </c:pt>
                  <c:pt idx="35">
                    <c:v>Google</c:v>
                  </c:pt>
                </c:lvl>
                <c:lvl>
                  <c:pt idx="0">
                    <c:v>MAR</c:v>
                  </c:pt>
                  <c:pt idx="3">
                    <c:v>APR</c:v>
                  </c:pt>
                  <c:pt idx="6">
                    <c:v>MAY</c:v>
                  </c:pt>
                  <c:pt idx="9">
                    <c:v>JUN</c:v>
                  </c:pt>
                  <c:pt idx="12">
                    <c:v>JUL</c:v>
                  </c:pt>
                  <c:pt idx="15">
                    <c:v>AUG</c:v>
                  </c:pt>
                  <c:pt idx="18">
                    <c:v>SEP</c:v>
                  </c:pt>
                  <c:pt idx="21">
                    <c:v>OCT</c:v>
                  </c:pt>
                  <c:pt idx="24">
                    <c:v>NOV</c:v>
                  </c:pt>
                  <c:pt idx="27">
                    <c:v>DEC</c:v>
                  </c:pt>
                  <c:pt idx="30">
                    <c:v>JAN</c:v>
                  </c:pt>
                  <c:pt idx="33">
                    <c:v>FEB</c:v>
                  </c:pt>
                </c:lvl>
                <c:lvl>
                  <c:pt idx="30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TRIALISTS!$AA$13:$AA$54</c15:sqref>
                  </c15:fullRef>
                </c:ext>
              </c:extLst>
              <c:f>TRIALISTS!$AA$19:$AA$54</c:f>
              <c:numCache>
                <c:formatCode>General</c:formatCode>
                <c:ptCount val="36"/>
                <c:pt idx="1">
                  <c:v>88</c:v>
                </c:pt>
                <c:pt idx="2">
                  <c:v>108</c:v>
                </c:pt>
                <c:pt idx="4">
                  <c:v>88</c:v>
                </c:pt>
                <c:pt idx="5">
                  <c:v>107</c:v>
                </c:pt>
                <c:pt idx="7">
                  <c:v>75</c:v>
                </c:pt>
                <c:pt idx="8">
                  <c:v>144</c:v>
                </c:pt>
                <c:pt idx="10">
                  <c:v>75</c:v>
                </c:pt>
                <c:pt idx="11">
                  <c:v>183</c:v>
                </c:pt>
                <c:pt idx="13">
                  <c:v>53</c:v>
                </c:pt>
                <c:pt idx="14">
                  <c:v>167</c:v>
                </c:pt>
                <c:pt idx="16">
                  <c:v>65</c:v>
                </c:pt>
                <c:pt idx="17">
                  <c:v>74</c:v>
                </c:pt>
                <c:pt idx="19">
                  <c:v>58</c:v>
                </c:pt>
                <c:pt idx="20">
                  <c:v>158</c:v>
                </c:pt>
                <c:pt idx="22">
                  <c:v>75</c:v>
                </c:pt>
                <c:pt idx="23">
                  <c:v>95</c:v>
                </c:pt>
                <c:pt idx="25">
                  <c:v>49</c:v>
                </c:pt>
                <c:pt idx="26">
                  <c:v>102</c:v>
                </c:pt>
                <c:pt idx="28">
                  <c:v>58</c:v>
                </c:pt>
                <c:pt idx="29">
                  <c:v>104</c:v>
                </c:pt>
                <c:pt idx="31">
                  <c:v>57</c:v>
                </c:pt>
                <c:pt idx="32">
                  <c:v>117</c:v>
                </c:pt>
                <c:pt idx="34">
                  <c:v>53</c:v>
                </c:pt>
                <c:pt idx="35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D-41F4-8028-E4C95D0DF2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967267136"/>
        <c:axId val="967270016"/>
      </c:barChart>
      <c:catAx>
        <c:axId val="96726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70016"/>
        <c:crosses val="autoZero"/>
        <c:auto val="1"/>
        <c:lblAlgn val="ctr"/>
        <c:lblOffset val="100"/>
        <c:noMultiLvlLbl val="0"/>
      </c:catAx>
      <c:valAx>
        <c:axId val="967270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6726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3366FF"/>
                </a:solidFill>
              </a:rPr>
              <a:t>TRIALISTS NEXT MONTH FIRST 7 DAYS</a:t>
            </a:r>
            <a:endParaRPr lang="en-US" b="1">
              <a:solidFill>
                <a:srgbClr val="30C1BE"/>
              </a:solidFill>
            </a:endParaRPr>
          </a:p>
        </c:rich>
      </c:tx>
      <c:layout>
        <c:manualLayout>
          <c:xMode val="edge"/>
          <c:yMode val="edge"/>
          <c:x val="2.2634303893889811E-2"/>
          <c:y val="2.7777557657304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TRIALISTS!$AG$12</c:f>
              <c:strCache>
                <c:ptCount val="1"/>
                <c:pt idx="0">
                  <c:v>Next month 1-7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TRIALISTS!$AD$13:$AF$54</c15:sqref>
                  </c15:fullRef>
                </c:ext>
              </c:extLst>
              <c:f>TRIALISTS!$AD$19:$AF$54</c:f>
              <c:multiLvlStrCache>
                <c:ptCount val="36"/>
                <c:lvl>
                  <c:pt idx="0">
                    <c:v>CB iOS</c:v>
                  </c:pt>
                  <c:pt idx="1">
                    <c:v>CB Web</c:v>
                  </c:pt>
                  <c:pt idx="2">
                    <c:v>Google</c:v>
                  </c:pt>
                  <c:pt idx="3">
                    <c:v>CB iOS</c:v>
                  </c:pt>
                  <c:pt idx="4">
                    <c:v>CB Web</c:v>
                  </c:pt>
                  <c:pt idx="5">
                    <c:v>Google</c:v>
                  </c:pt>
                  <c:pt idx="6">
                    <c:v>CB iOS</c:v>
                  </c:pt>
                  <c:pt idx="7">
                    <c:v>CB Web</c:v>
                  </c:pt>
                  <c:pt idx="8">
                    <c:v>Google</c:v>
                  </c:pt>
                  <c:pt idx="9">
                    <c:v>CB iOS</c:v>
                  </c:pt>
                  <c:pt idx="10">
                    <c:v>CB Web</c:v>
                  </c:pt>
                  <c:pt idx="11">
                    <c:v>Google</c:v>
                  </c:pt>
                  <c:pt idx="12">
                    <c:v>CB iOS</c:v>
                  </c:pt>
                  <c:pt idx="13">
                    <c:v>CB Web</c:v>
                  </c:pt>
                  <c:pt idx="14">
                    <c:v>Google</c:v>
                  </c:pt>
                  <c:pt idx="15">
                    <c:v>CB iOS</c:v>
                  </c:pt>
                  <c:pt idx="16">
                    <c:v>CB Web</c:v>
                  </c:pt>
                  <c:pt idx="17">
                    <c:v>Google</c:v>
                  </c:pt>
                  <c:pt idx="18">
                    <c:v>CB iOS</c:v>
                  </c:pt>
                  <c:pt idx="19">
                    <c:v>CB Web</c:v>
                  </c:pt>
                  <c:pt idx="20">
                    <c:v>Google</c:v>
                  </c:pt>
                  <c:pt idx="21">
                    <c:v>CB iOS</c:v>
                  </c:pt>
                  <c:pt idx="22">
                    <c:v>CB Web</c:v>
                  </c:pt>
                  <c:pt idx="23">
                    <c:v>Google</c:v>
                  </c:pt>
                  <c:pt idx="24">
                    <c:v>CB iOS</c:v>
                  </c:pt>
                  <c:pt idx="25">
                    <c:v>CB Web</c:v>
                  </c:pt>
                  <c:pt idx="26">
                    <c:v>Google</c:v>
                  </c:pt>
                  <c:pt idx="27">
                    <c:v>CB iOS</c:v>
                  </c:pt>
                  <c:pt idx="28">
                    <c:v>CB Web</c:v>
                  </c:pt>
                  <c:pt idx="29">
                    <c:v>Google</c:v>
                  </c:pt>
                  <c:pt idx="30">
                    <c:v>CB iOS</c:v>
                  </c:pt>
                  <c:pt idx="31">
                    <c:v>CB Web</c:v>
                  </c:pt>
                  <c:pt idx="32">
                    <c:v>Google</c:v>
                  </c:pt>
                  <c:pt idx="33">
                    <c:v>CB iOS</c:v>
                  </c:pt>
                  <c:pt idx="34">
                    <c:v>CB Web</c:v>
                  </c:pt>
                  <c:pt idx="35">
                    <c:v>Google</c:v>
                  </c:pt>
                </c:lvl>
                <c:lvl>
                  <c:pt idx="0">
                    <c:v>MAR</c:v>
                  </c:pt>
                  <c:pt idx="3">
                    <c:v>APR</c:v>
                  </c:pt>
                  <c:pt idx="6">
                    <c:v>MAY</c:v>
                  </c:pt>
                  <c:pt idx="9">
                    <c:v>JUN</c:v>
                  </c:pt>
                  <c:pt idx="12">
                    <c:v>JUL</c:v>
                  </c:pt>
                  <c:pt idx="15">
                    <c:v>AUG</c:v>
                  </c:pt>
                  <c:pt idx="18">
                    <c:v>SEP</c:v>
                  </c:pt>
                  <c:pt idx="21">
                    <c:v>OCT</c:v>
                  </c:pt>
                  <c:pt idx="24">
                    <c:v>NOV</c:v>
                  </c:pt>
                  <c:pt idx="27">
                    <c:v>DEC</c:v>
                  </c:pt>
                  <c:pt idx="30">
                    <c:v>JAN</c:v>
                  </c:pt>
                  <c:pt idx="33">
                    <c:v>FEB</c:v>
                  </c:pt>
                </c:lvl>
                <c:lvl>
                  <c:pt idx="30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TRIALISTS!$AG$13:$AG$54</c15:sqref>
                  </c15:fullRef>
                </c:ext>
              </c:extLst>
              <c:f>TRIALISTS!$AG$19:$AG$54</c:f>
              <c:numCache>
                <c:formatCode>General</c:formatCode>
                <c:ptCount val="36"/>
                <c:pt idx="1">
                  <c:v>37</c:v>
                </c:pt>
                <c:pt idx="4">
                  <c:v>37</c:v>
                </c:pt>
                <c:pt idx="7">
                  <c:v>12</c:v>
                </c:pt>
                <c:pt idx="10">
                  <c:v>18</c:v>
                </c:pt>
                <c:pt idx="13">
                  <c:v>22</c:v>
                </c:pt>
                <c:pt idx="16">
                  <c:v>13</c:v>
                </c:pt>
                <c:pt idx="19">
                  <c:v>21</c:v>
                </c:pt>
                <c:pt idx="22">
                  <c:v>26</c:v>
                </c:pt>
                <c:pt idx="25">
                  <c:v>15</c:v>
                </c:pt>
                <c:pt idx="28">
                  <c:v>19</c:v>
                </c:pt>
                <c:pt idx="31">
                  <c:v>28</c:v>
                </c:pt>
                <c:pt idx="3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0-4D2E-805D-D17336D585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967267136"/>
        <c:axId val="967270016"/>
      </c:barChart>
      <c:catAx>
        <c:axId val="96726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70016"/>
        <c:crosses val="autoZero"/>
        <c:auto val="1"/>
        <c:lblAlgn val="ctr"/>
        <c:lblOffset val="100"/>
        <c:noMultiLvlLbl val="0"/>
      </c:catAx>
      <c:valAx>
        <c:axId val="967270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6726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3366FF"/>
                </a:solidFill>
              </a:rPr>
              <a:t>TRIALISTS NO RESPONSES</a:t>
            </a:r>
            <a:endParaRPr lang="en-US" b="1">
              <a:solidFill>
                <a:srgbClr val="30C1BE"/>
              </a:solidFill>
            </a:endParaRPr>
          </a:p>
        </c:rich>
      </c:tx>
      <c:layout>
        <c:manualLayout>
          <c:xMode val="edge"/>
          <c:yMode val="edge"/>
          <c:x val="1.5104270067610639E-2"/>
          <c:y val="2.777767124572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39512293307063E-2"/>
          <c:y val="0.16574069121985271"/>
          <c:w val="0.95862969479241644"/>
          <c:h val="0.50007459409552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TRIALISTS!$AM$12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TRIALISTS!$AJ$13:$AL$54</c15:sqref>
                  </c15:fullRef>
                </c:ext>
              </c:extLst>
              <c:f>TRIALISTS!$AJ$19:$AL$54</c:f>
              <c:multiLvlStrCache>
                <c:ptCount val="36"/>
                <c:lvl>
                  <c:pt idx="0">
                    <c:v>CB iOS</c:v>
                  </c:pt>
                  <c:pt idx="1">
                    <c:v>CB Web</c:v>
                  </c:pt>
                  <c:pt idx="2">
                    <c:v>Google</c:v>
                  </c:pt>
                  <c:pt idx="3">
                    <c:v>CB iOS</c:v>
                  </c:pt>
                  <c:pt idx="4">
                    <c:v>CB Web</c:v>
                  </c:pt>
                  <c:pt idx="5">
                    <c:v>Google</c:v>
                  </c:pt>
                  <c:pt idx="6">
                    <c:v>CB iOS</c:v>
                  </c:pt>
                  <c:pt idx="7">
                    <c:v>CB Web</c:v>
                  </c:pt>
                  <c:pt idx="8">
                    <c:v>Google</c:v>
                  </c:pt>
                  <c:pt idx="9">
                    <c:v>CB iOS</c:v>
                  </c:pt>
                  <c:pt idx="10">
                    <c:v>CB Web</c:v>
                  </c:pt>
                  <c:pt idx="11">
                    <c:v>Google</c:v>
                  </c:pt>
                  <c:pt idx="12">
                    <c:v>CB iOS</c:v>
                  </c:pt>
                  <c:pt idx="13">
                    <c:v>CB Web</c:v>
                  </c:pt>
                  <c:pt idx="14">
                    <c:v>Google</c:v>
                  </c:pt>
                  <c:pt idx="15">
                    <c:v>CB iOS</c:v>
                  </c:pt>
                  <c:pt idx="16">
                    <c:v>CB Web</c:v>
                  </c:pt>
                  <c:pt idx="17">
                    <c:v>Google</c:v>
                  </c:pt>
                  <c:pt idx="18">
                    <c:v>CB iOS</c:v>
                  </c:pt>
                  <c:pt idx="19">
                    <c:v>CB Web</c:v>
                  </c:pt>
                  <c:pt idx="20">
                    <c:v>Google</c:v>
                  </c:pt>
                  <c:pt idx="21">
                    <c:v>CB iOS</c:v>
                  </c:pt>
                  <c:pt idx="22">
                    <c:v>CB Web</c:v>
                  </c:pt>
                  <c:pt idx="23">
                    <c:v>Google</c:v>
                  </c:pt>
                  <c:pt idx="24">
                    <c:v>CB iOS</c:v>
                  </c:pt>
                  <c:pt idx="25">
                    <c:v>CB Web</c:v>
                  </c:pt>
                  <c:pt idx="26">
                    <c:v>Google</c:v>
                  </c:pt>
                  <c:pt idx="27">
                    <c:v>CB iOS</c:v>
                  </c:pt>
                  <c:pt idx="28">
                    <c:v>CB Web</c:v>
                  </c:pt>
                  <c:pt idx="29">
                    <c:v>Google</c:v>
                  </c:pt>
                  <c:pt idx="30">
                    <c:v>CB iOS</c:v>
                  </c:pt>
                  <c:pt idx="31">
                    <c:v>CB Web</c:v>
                  </c:pt>
                  <c:pt idx="32">
                    <c:v>Google</c:v>
                  </c:pt>
                  <c:pt idx="33">
                    <c:v>CB iOS</c:v>
                  </c:pt>
                  <c:pt idx="34">
                    <c:v>CB Web</c:v>
                  </c:pt>
                  <c:pt idx="35">
                    <c:v>Google</c:v>
                  </c:pt>
                </c:lvl>
                <c:lvl>
                  <c:pt idx="0">
                    <c:v>MAR</c:v>
                  </c:pt>
                  <c:pt idx="3">
                    <c:v>APR</c:v>
                  </c:pt>
                  <c:pt idx="6">
                    <c:v>MAY</c:v>
                  </c:pt>
                  <c:pt idx="9">
                    <c:v>JUN</c:v>
                  </c:pt>
                  <c:pt idx="12">
                    <c:v>JUL</c:v>
                  </c:pt>
                  <c:pt idx="15">
                    <c:v>AUG</c:v>
                  </c:pt>
                  <c:pt idx="18">
                    <c:v>SEP</c:v>
                  </c:pt>
                  <c:pt idx="21">
                    <c:v>OCT</c:v>
                  </c:pt>
                  <c:pt idx="24">
                    <c:v>NOV</c:v>
                  </c:pt>
                  <c:pt idx="27">
                    <c:v>DEC</c:v>
                  </c:pt>
                  <c:pt idx="30">
                    <c:v>JAN</c:v>
                  </c:pt>
                  <c:pt idx="33">
                    <c:v>FEB</c:v>
                  </c:pt>
                </c:lvl>
                <c:lvl>
                  <c:pt idx="30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TRIALISTS!$AM$13:$AM$54</c15:sqref>
                  </c15:fullRef>
                </c:ext>
              </c:extLst>
              <c:f>TRIALISTS!$AM$19:$AM$54</c:f>
              <c:numCache>
                <c:formatCode>General</c:formatCode>
                <c:ptCount val="36"/>
                <c:pt idx="1">
                  <c:v>192</c:v>
                </c:pt>
                <c:pt idx="2">
                  <c:v>7</c:v>
                </c:pt>
                <c:pt idx="4">
                  <c:v>281</c:v>
                </c:pt>
                <c:pt idx="5">
                  <c:v>9</c:v>
                </c:pt>
                <c:pt idx="7">
                  <c:v>414</c:v>
                </c:pt>
                <c:pt idx="8">
                  <c:v>9</c:v>
                </c:pt>
                <c:pt idx="10">
                  <c:v>494</c:v>
                </c:pt>
                <c:pt idx="11">
                  <c:v>11</c:v>
                </c:pt>
                <c:pt idx="13">
                  <c:v>421</c:v>
                </c:pt>
                <c:pt idx="14">
                  <c:v>7</c:v>
                </c:pt>
                <c:pt idx="16">
                  <c:v>298</c:v>
                </c:pt>
                <c:pt idx="17">
                  <c:v>11</c:v>
                </c:pt>
                <c:pt idx="19">
                  <c:v>183</c:v>
                </c:pt>
                <c:pt idx="20">
                  <c:v>5</c:v>
                </c:pt>
                <c:pt idx="22">
                  <c:v>164</c:v>
                </c:pt>
                <c:pt idx="23">
                  <c:v>9</c:v>
                </c:pt>
                <c:pt idx="25">
                  <c:v>152</c:v>
                </c:pt>
                <c:pt idx="26">
                  <c:v>15</c:v>
                </c:pt>
                <c:pt idx="28">
                  <c:v>144</c:v>
                </c:pt>
                <c:pt idx="29">
                  <c:v>5</c:v>
                </c:pt>
                <c:pt idx="31">
                  <c:v>144</c:v>
                </c:pt>
                <c:pt idx="32">
                  <c:v>11</c:v>
                </c:pt>
                <c:pt idx="34">
                  <c:v>133</c:v>
                </c:pt>
                <c:pt idx="3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0-431E-9575-7FCF374A22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967267136"/>
        <c:axId val="967270016"/>
      </c:barChart>
      <c:catAx>
        <c:axId val="96726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70016"/>
        <c:crosses val="autoZero"/>
        <c:auto val="1"/>
        <c:lblAlgn val="ctr"/>
        <c:lblOffset val="100"/>
        <c:noMultiLvlLbl val="0"/>
      </c:catAx>
      <c:valAx>
        <c:axId val="967270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6726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rgbClr val="3366FF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rgbClr val="3366FF"/>
                </a:solidFill>
              </a:rPr>
              <a:t>% TRIALISTS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20" normalizeH="0" baseline="0">
              <a:solidFill>
                <a:srgbClr val="3366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TRIALISTS!$E$12</c:f>
              <c:strCache>
                <c:ptCount val="1"/>
                <c:pt idx="0">
                  <c:v>This month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TRIALISTS!$B$13:$D$54</c15:sqref>
                  </c15:fullRef>
                </c:ext>
              </c:extLst>
              <c:f>TRIALISTS!$B$19:$D$54</c:f>
              <c:multiLvlStrCache>
                <c:ptCount val="36"/>
                <c:lvl>
                  <c:pt idx="0">
                    <c:v>CB iOS</c:v>
                  </c:pt>
                  <c:pt idx="1">
                    <c:v>CB Web</c:v>
                  </c:pt>
                  <c:pt idx="2">
                    <c:v>Google</c:v>
                  </c:pt>
                  <c:pt idx="3">
                    <c:v>CB iOS</c:v>
                  </c:pt>
                  <c:pt idx="4">
                    <c:v>CB Web</c:v>
                  </c:pt>
                  <c:pt idx="5">
                    <c:v>Google</c:v>
                  </c:pt>
                  <c:pt idx="6">
                    <c:v>CB iOS</c:v>
                  </c:pt>
                  <c:pt idx="7">
                    <c:v>CB Web</c:v>
                  </c:pt>
                  <c:pt idx="8">
                    <c:v>Google</c:v>
                  </c:pt>
                  <c:pt idx="9">
                    <c:v>CB iOS</c:v>
                  </c:pt>
                  <c:pt idx="10">
                    <c:v>CB Web</c:v>
                  </c:pt>
                  <c:pt idx="11">
                    <c:v>Google</c:v>
                  </c:pt>
                  <c:pt idx="12">
                    <c:v>CB iOS</c:v>
                  </c:pt>
                  <c:pt idx="13">
                    <c:v>CB Web</c:v>
                  </c:pt>
                  <c:pt idx="14">
                    <c:v>Google</c:v>
                  </c:pt>
                  <c:pt idx="15">
                    <c:v>CB iOS</c:v>
                  </c:pt>
                  <c:pt idx="16">
                    <c:v>CB Web</c:v>
                  </c:pt>
                  <c:pt idx="17">
                    <c:v>Google</c:v>
                  </c:pt>
                  <c:pt idx="18">
                    <c:v>CB iOS</c:v>
                  </c:pt>
                  <c:pt idx="19">
                    <c:v>CB Web</c:v>
                  </c:pt>
                  <c:pt idx="20">
                    <c:v>Google</c:v>
                  </c:pt>
                  <c:pt idx="21">
                    <c:v>CB iOS</c:v>
                  </c:pt>
                  <c:pt idx="22">
                    <c:v>CB Web</c:v>
                  </c:pt>
                  <c:pt idx="23">
                    <c:v>Google</c:v>
                  </c:pt>
                  <c:pt idx="24">
                    <c:v>CB iOS</c:v>
                  </c:pt>
                  <c:pt idx="25">
                    <c:v>CB Web</c:v>
                  </c:pt>
                  <c:pt idx="26">
                    <c:v>Google</c:v>
                  </c:pt>
                  <c:pt idx="27">
                    <c:v>CB iOS</c:v>
                  </c:pt>
                  <c:pt idx="28">
                    <c:v>CB Web</c:v>
                  </c:pt>
                  <c:pt idx="29">
                    <c:v>Google</c:v>
                  </c:pt>
                  <c:pt idx="30">
                    <c:v>CB iOS</c:v>
                  </c:pt>
                  <c:pt idx="31">
                    <c:v>CB Web</c:v>
                  </c:pt>
                  <c:pt idx="32">
                    <c:v>Google</c:v>
                  </c:pt>
                  <c:pt idx="33">
                    <c:v>CB iOS</c:v>
                  </c:pt>
                  <c:pt idx="34">
                    <c:v>CB Web</c:v>
                  </c:pt>
                  <c:pt idx="35">
                    <c:v>Google</c:v>
                  </c:pt>
                </c:lvl>
                <c:lvl>
                  <c:pt idx="0">
                    <c:v>MAR</c:v>
                  </c:pt>
                  <c:pt idx="3">
                    <c:v>APR</c:v>
                  </c:pt>
                  <c:pt idx="6">
                    <c:v>MAY</c:v>
                  </c:pt>
                  <c:pt idx="9">
                    <c:v>JUN</c:v>
                  </c:pt>
                  <c:pt idx="12">
                    <c:v>JUL</c:v>
                  </c:pt>
                  <c:pt idx="15">
                    <c:v>AUG</c:v>
                  </c:pt>
                  <c:pt idx="18">
                    <c:v>SEP</c:v>
                  </c:pt>
                  <c:pt idx="21">
                    <c:v>OCT</c:v>
                  </c:pt>
                  <c:pt idx="24">
                    <c:v>NOV</c:v>
                  </c:pt>
                  <c:pt idx="27">
                    <c:v>DEC</c:v>
                  </c:pt>
                  <c:pt idx="30">
                    <c:v>JAN</c:v>
                  </c:pt>
                  <c:pt idx="33">
                    <c:v>FEB</c:v>
                  </c:pt>
                </c:lvl>
                <c:lvl>
                  <c:pt idx="30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TRIALISTS!$E$13:$E$54</c15:sqref>
                  </c15:fullRef>
                </c:ext>
              </c:extLst>
              <c:f>TRIALISTS!$E$19:$E$54</c:f>
              <c:numCache>
                <c:formatCode>0</c:formatCode>
                <c:ptCount val="36"/>
                <c:pt idx="1">
                  <c:v>27.760252365930597</c:v>
                </c:pt>
                <c:pt idx="2">
                  <c:v>93.913043478260875</c:v>
                </c:pt>
                <c:pt idx="4">
                  <c:v>21.674876847290641</c:v>
                </c:pt>
                <c:pt idx="5">
                  <c:v>92.241379310344826</c:v>
                </c:pt>
                <c:pt idx="7">
                  <c:v>14.97005988023952</c:v>
                </c:pt>
                <c:pt idx="8">
                  <c:v>94.117647058823522</c:v>
                </c:pt>
                <c:pt idx="10">
                  <c:v>12.776831345826235</c:v>
                </c:pt>
                <c:pt idx="11">
                  <c:v>94.329896907216494</c:v>
                </c:pt>
                <c:pt idx="13">
                  <c:v>10.685483870967742</c:v>
                </c:pt>
                <c:pt idx="14">
                  <c:v>95.977011494252878</c:v>
                </c:pt>
                <c:pt idx="16">
                  <c:v>17.287234042553195</c:v>
                </c:pt>
                <c:pt idx="17">
                  <c:v>87.058823529411768</c:v>
                </c:pt>
                <c:pt idx="19">
                  <c:v>22.137404580152673</c:v>
                </c:pt>
                <c:pt idx="20">
                  <c:v>96.932515337423311</c:v>
                </c:pt>
                <c:pt idx="22">
                  <c:v>28.30188679245283</c:v>
                </c:pt>
                <c:pt idx="23">
                  <c:v>91.34615384615384</c:v>
                </c:pt>
                <c:pt idx="25">
                  <c:v>22.685185185185187</c:v>
                </c:pt>
                <c:pt idx="26">
                  <c:v>87.179487179487182</c:v>
                </c:pt>
                <c:pt idx="28">
                  <c:v>26.244343891402718</c:v>
                </c:pt>
                <c:pt idx="29">
                  <c:v>95.412844036697251</c:v>
                </c:pt>
                <c:pt idx="31">
                  <c:v>24.890829694323145</c:v>
                </c:pt>
                <c:pt idx="32">
                  <c:v>91.40625</c:v>
                </c:pt>
                <c:pt idx="34">
                  <c:v>25</c:v>
                </c:pt>
                <c:pt idx="35">
                  <c:v>93.814432989690715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TRIALISTS!$E$14</c15:sqref>
                  <c15:dLbl>
                    <c:idx val="-1"/>
                    <c:layout>
                      <c:manualLayout>
                        <c:x val="-1.3370995583895034E-17"/>
                        <c:y val="1.2328768453108452E-2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D26D-4631-A8C6-AA8B2E02C29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85BE-4D5E-8220-9A1F8C158805}"/>
            </c:ext>
          </c:extLst>
        </c:ser>
        <c:ser>
          <c:idx val="1"/>
          <c:order val="1"/>
          <c:tx>
            <c:strRef>
              <c:f>TRIALISTS!$F$12</c:f>
              <c:strCache>
                <c:ptCount val="1"/>
                <c:pt idx="0">
                  <c:v>Next mth 1-7</c:v>
                </c:pt>
              </c:strCache>
            </c:strRef>
          </c:tx>
          <c:spPr>
            <a:solidFill>
              <a:srgbClr val="A7A7FF"/>
            </a:solidFill>
            <a:ln>
              <a:noFill/>
            </a:ln>
            <a:effectLst/>
          </c:spPr>
          <c:invertIfNegative val="0"/>
          <c:dLbls>
            <c:dLbl>
              <c:idx val="20"/>
              <c:layout>
                <c:manualLayout>
                  <c:x val="0"/>
                  <c:y val="1.515151876676655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5BE-4D5E-8220-9A1F8C158805}"/>
                </c:ext>
              </c:extLst>
            </c:dLbl>
            <c:dLbl>
              <c:idx val="23"/>
              <c:layout>
                <c:manualLayout>
                  <c:x val="0"/>
                  <c:y val="1.212121501341324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5BE-4D5E-8220-9A1F8C158805}"/>
                </c:ext>
              </c:extLst>
            </c:dLbl>
            <c:dLbl>
              <c:idx val="26"/>
              <c:layout>
                <c:manualLayout>
                  <c:x val="1.0696796467116027E-16"/>
                  <c:y val="1.21212150134132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5BE-4D5E-8220-9A1F8C158805}"/>
                </c:ext>
              </c:extLst>
            </c:dLbl>
            <c:dLbl>
              <c:idx val="29"/>
              <c:layout>
                <c:manualLayout>
                  <c:x val="-1.0696796467116027E-16"/>
                  <c:y val="1.515151876676655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BE-4D5E-8220-9A1F8C15880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TRIALISTS!$B$13:$D$54</c15:sqref>
                  </c15:fullRef>
                </c:ext>
              </c:extLst>
              <c:f>TRIALISTS!$B$19:$D$54</c:f>
              <c:multiLvlStrCache>
                <c:ptCount val="36"/>
                <c:lvl>
                  <c:pt idx="0">
                    <c:v>CB iOS</c:v>
                  </c:pt>
                  <c:pt idx="1">
                    <c:v>CB Web</c:v>
                  </c:pt>
                  <c:pt idx="2">
                    <c:v>Google</c:v>
                  </c:pt>
                  <c:pt idx="3">
                    <c:v>CB iOS</c:v>
                  </c:pt>
                  <c:pt idx="4">
                    <c:v>CB Web</c:v>
                  </c:pt>
                  <c:pt idx="5">
                    <c:v>Google</c:v>
                  </c:pt>
                  <c:pt idx="6">
                    <c:v>CB iOS</c:v>
                  </c:pt>
                  <c:pt idx="7">
                    <c:v>CB Web</c:v>
                  </c:pt>
                  <c:pt idx="8">
                    <c:v>Google</c:v>
                  </c:pt>
                  <c:pt idx="9">
                    <c:v>CB iOS</c:v>
                  </c:pt>
                  <c:pt idx="10">
                    <c:v>CB Web</c:v>
                  </c:pt>
                  <c:pt idx="11">
                    <c:v>Google</c:v>
                  </c:pt>
                  <c:pt idx="12">
                    <c:v>CB iOS</c:v>
                  </c:pt>
                  <c:pt idx="13">
                    <c:v>CB Web</c:v>
                  </c:pt>
                  <c:pt idx="14">
                    <c:v>Google</c:v>
                  </c:pt>
                  <c:pt idx="15">
                    <c:v>CB iOS</c:v>
                  </c:pt>
                  <c:pt idx="16">
                    <c:v>CB Web</c:v>
                  </c:pt>
                  <c:pt idx="17">
                    <c:v>Google</c:v>
                  </c:pt>
                  <c:pt idx="18">
                    <c:v>CB iOS</c:v>
                  </c:pt>
                  <c:pt idx="19">
                    <c:v>CB Web</c:v>
                  </c:pt>
                  <c:pt idx="20">
                    <c:v>Google</c:v>
                  </c:pt>
                  <c:pt idx="21">
                    <c:v>CB iOS</c:v>
                  </c:pt>
                  <c:pt idx="22">
                    <c:v>CB Web</c:v>
                  </c:pt>
                  <c:pt idx="23">
                    <c:v>Google</c:v>
                  </c:pt>
                  <c:pt idx="24">
                    <c:v>CB iOS</c:v>
                  </c:pt>
                  <c:pt idx="25">
                    <c:v>CB Web</c:v>
                  </c:pt>
                  <c:pt idx="26">
                    <c:v>Google</c:v>
                  </c:pt>
                  <c:pt idx="27">
                    <c:v>CB iOS</c:v>
                  </c:pt>
                  <c:pt idx="28">
                    <c:v>CB Web</c:v>
                  </c:pt>
                  <c:pt idx="29">
                    <c:v>Google</c:v>
                  </c:pt>
                  <c:pt idx="30">
                    <c:v>CB iOS</c:v>
                  </c:pt>
                  <c:pt idx="31">
                    <c:v>CB Web</c:v>
                  </c:pt>
                  <c:pt idx="32">
                    <c:v>Google</c:v>
                  </c:pt>
                  <c:pt idx="33">
                    <c:v>CB iOS</c:v>
                  </c:pt>
                  <c:pt idx="34">
                    <c:v>CB Web</c:v>
                  </c:pt>
                  <c:pt idx="35">
                    <c:v>Google</c:v>
                  </c:pt>
                </c:lvl>
                <c:lvl>
                  <c:pt idx="0">
                    <c:v>MAR</c:v>
                  </c:pt>
                  <c:pt idx="3">
                    <c:v>APR</c:v>
                  </c:pt>
                  <c:pt idx="6">
                    <c:v>MAY</c:v>
                  </c:pt>
                  <c:pt idx="9">
                    <c:v>JUN</c:v>
                  </c:pt>
                  <c:pt idx="12">
                    <c:v>JUL</c:v>
                  </c:pt>
                  <c:pt idx="15">
                    <c:v>AUG</c:v>
                  </c:pt>
                  <c:pt idx="18">
                    <c:v>SEP</c:v>
                  </c:pt>
                  <c:pt idx="21">
                    <c:v>OCT</c:v>
                  </c:pt>
                  <c:pt idx="24">
                    <c:v>NOV</c:v>
                  </c:pt>
                  <c:pt idx="27">
                    <c:v>DEC</c:v>
                  </c:pt>
                  <c:pt idx="30">
                    <c:v>JAN</c:v>
                  </c:pt>
                  <c:pt idx="33">
                    <c:v>FEB</c:v>
                  </c:pt>
                </c:lvl>
                <c:lvl>
                  <c:pt idx="30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TRIALISTS!$F$13:$F$54</c15:sqref>
                  </c15:fullRef>
                </c:ext>
              </c:extLst>
              <c:f>TRIALISTS!$F$19:$F$54</c:f>
              <c:numCache>
                <c:formatCode>0</c:formatCode>
                <c:ptCount val="36"/>
                <c:pt idx="1">
                  <c:v>11.67192429022082</c:v>
                </c:pt>
                <c:pt idx="4">
                  <c:v>9.1133004926108381</c:v>
                </c:pt>
                <c:pt idx="7">
                  <c:v>2.3952095808383236</c:v>
                </c:pt>
                <c:pt idx="10">
                  <c:v>3.0664395229982966</c:v>
                </c:pt>
                <c:pt idx="13">
                  <c:v>4.435483870967742</c:v>
                </c:pt>
                <c:pt idx="16">
                  <c:v>3.4574468085106385</c:v>
                </c:pt>
                <c:pt idx="19">
                  <c:v>8.015267175572518</c:v>
                </c:pt>
                <c:pt idx="20">
                  <c:v>0</c:v>
                </c:pt>
                <c:pt idx="22">
                  <c:v>9.8113207547169825</c:v>
                </c:pt>
                <c:pt idx="23">
                  <c:v>0</c:v>
                </c:pt>
                <c:pt idx="25">
                  <c:v>6.9444444444444446</c:v>
                </c:pt>
                <c:pt idx="26">
                  <c:v>0</c:v>
                </c:pt>
                <c:pt idx="28">
                  <c:v>8.5972850678733028</c:v>
                </c:pt>
                <c:pt idx="29">
                  <c:v>0</c:v>
                </c:pt>
                <c:pt idx="31">
                  <c:v>12.22707423580786</c:v>
                </c:pt>
                <c:pt idx="32">
                  <c:v>0</c:v>
                </c:pt>
                <c:pt idx="34">
                  <c:v>12.264150943396226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BE-4D5E-8220-9A1F8C158805}"/>
            </c:ext>
          </c:extLst>
        </c:ser>
        <c:ser>
          <c:idx val="2"/>
          <c:order val="2"/>
          <c:tx>
            <c:strRef>
              <c:f>TRIALISTS!$G$12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83E6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TRIALISTS!$B$13:$D$54</c15:sqref>
                  </c15:fullRef>
                </c:ext>
              </c:extLst>
              <c:f>TRIALISTS!$B$19:$D$54</c:f>
              <c:multiLvlStrCache>
                <c:ptCount val="36"/>
                <c:lvl>
                  <c:pt idx="0">
                    <c:v>CB iOS</c:v>
                  </c:pt>
                  <c:pt idx="1">
                    <c:v>CB Web</c:v>
                  </c:pt>
                  <c:pt idx="2">
                    <c:v>Google</c:v>
                  </c:pt>
                  <c:pt idx="3">
                    <c:v>CB iOS</c:v>
                  </c:pt>
                  <c:pt idx="4">
                    <c:v>CB Web</c:v>
                  </c:pt>
                  <c:pt idx="5">
                    <c:v>Google</c:v>
                  </c:pt>
                  <c:pt idx="6">
                    <c:v>CB iOS</c:v>
                  </c:pt>
                  <c:pt idx="7">
                    <c:v>CB Web</c:v>
                  </c:pt>
                  <c:pt idx="8">
                    <c:v>Google</c:v>
                  </c:pt>
                  <c:pt idx="9">
                    <c:v>CB iOS</c:v>
                  </c:pt>
                  <c:pt idx="10">
                    <c:v>CB Web</c:v>
                  </c:pt>
                  <c:pt idx="11">
                    <c:v>Google</c:v>
                  </c:pt>
                  <c:pt idx="12">
                    <c:v>CB iOS</c:v>
                  </c:pt>
                  <c:pt idx="13">
                    <c:v>CB Web</c:v>
                  </c:pt>
                  <c:pt idx="14">
                    <c:v>Google</c:v>
                  </c:pt>
                  <c:pt idx="15">
                    <c:v>CB iOS</c:v>
                  </c:pt>
                  <c:pt idx="16">
                    <c:v>CB Web</c:v>
                  </c:pt>
                  <c:pt idx="17">
                    <c:v>Google</c:v>
                  </c:pt>
                  <c:pt idx="18">
                    <c:v>CB iOS</c:v>
                  </c:pt>
                  <c:pt idx="19">
                    <c:v>CB Web</c:v>
                  </c:pt>
                  <c:pt idx="20">
                    <c:v>Google</c:v>
                  </c:pt>
                  <c:pt idx="21">
                    <c:v>CB iOS</c:v>
                  </c:pt>
                  <c:pt idx="22">
                    <c:v>CB Web</c:v>
                  </c:pt>
                  <c:pt idx="23">
                    <c:v>Google</c:v>
                  </c:pt>
                  <c:pt idx="24">
                    <c:v>CB iOS</c:v>
                  </c:pt>
                  <c:pt idx="25">
                    <c:v>CB Web</c:v>
                  </c:pt>
                  <c:pt idx="26">
                    <c:v>Google</c:v>
                  </c:pt>
                  <c:pt idx="27">
                    <c:v>CB iOS</c:v>
                  </c:pt>
                  <c:pt idx="28">
                    <c:v>CB Web</c:v>
                  </c:pt>
                  <c:pt idx="29">
                    <c:v>Google</c:v>
                  </c:pt>
                  <c:pt idx="30">
                    <c:v>CB iOS</c:v>
                  </c:pt>
                  <c:pt idx="31">
                    <c:v>CB Web</c:v>
                  </c:pt>
                  <c:pt idx="32">
                    <c:v>Google</c:v>
                  </c:pt>
                  <c:pt idx="33">
                    <c:v>CB iOS</c:v>
                  </c:pt>
                  <c:pt idx="34">
                    <c:v>CB Web</c:v>
                  </c:pt>
                  <c:pt idx="35">
                    <c:v>Google</c:v>
                  </c:pt>
                </c:lvl>
                <c:lvl>
                  <c:pt idx="0">
                    <c:v>MAR</c:v>
                  </c:pt>
                  <c:pt idx="3">
                    <c:v>APR</c:v>
                  </c:pt>
                  <c:pt idx="6">
                    <c:v>MAY</c:v>
                  </c:pt>
                  <c:pt idx="9">
                    <c:v>JUN</c:v>
                  </c:pt>
                  <c:pt idx="12">
                    <c:v>JUL</c:v>
                  </c:pt>
                  <c:pt idx="15">
                    <c:v>AUG</c:v>
                  </c:pt>
                  <c:pt idx="18">
                    <c:v>SEP</c:v>
                  </c:pt>
                  <c:pt idx="21">
                    <c:v>OCT</c:v>
                  </c:pt>
                  <c:pt idx="24">
                    <c:v>NOV</c:v>
                  </c:pt>
                  <c:pt idx="27">
                    <c:v>DEC</c:v>
                  </c:pt>
                  <c:pt idx="30">
                    <c:v>JAN</c:v>
                  </c:pt>
                  <c:pt idx="33">
                    <c:v>FEB</c:v>
                  </c:pt>
                </c:lvl>
                <c:lvl>
                  <c:pt idx="30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TRIALISTS!$G$13:$G$54</c15:sqref>
                  </c15:fullRef>
                </c:ext>
              </c:extLst>
              <c:f>TRIALISTS!$G$19:$G$54</c:f>
              <c:numCache>
                <c:formatCode>0</c:formatCode>
                <c:ptCount val="36"/>
                <c:pt idx="1">
                  <c:v>60.56782334384858</c:v>
                </c:pt>
                <c:pt idx="2">
                  <c:v>6.0869565217391308</c:v>
                </c:pt>
                <c:pt idx="4">
                  <c:v>69.21182266009852</c:v>
                </c:pt>
                <c:pt idx="5">
                  <c:v>7.7586206896551726</c:v>
                </c:pt>
                <c:pt idx="7">
                  <c:v>82.634730538922156</c:v>
                </c:pt>
                <c:pt idx="8">
                  <c:v>5.8823529411764701</c:v>
                </c:pt>
                <c:pt idx="10">
                  <c:v>84.156729131175467</c:v>
                </c:pt>
                <c:pt idx="11">
                  <c:v>5.6701030927835054</c:v>
                </c:pt>
                <c:pt idx="13">
                  <c:v>84.879032258064512</c:v>
                </c:pt>
                <c:pt idx="14">
                  <c:v>4.0229885057471266</c:v>
                </c:pt>
                <c:pt idx="16">
                  <c:v>79.255319148936167</c:v>
                </c:pt>
                <c:pt idx="17">
                  <c:v>12.941176470588237</c:v>
                </c:pt>
                <c:pt idx="19">
                  <c:v>69.847328244274806</c:v>
                </c:pt>
                <c:pt idx="20">
                  <c:v>3.0674846625766872</c:v>
                </c:pt>
                <c:pt idx="22">
                  <c:v>61.886792452830186</c:v>
                </c:pt>
                <c:pt idx="23">
                  <c:v>8.6538461538461533</c:v>
                </c:pt>
                <c:pt idx="25">
                  <c:v>70.370370370370367</c:v>
                </c:pt>
                <c:pt idx="26">
                  <c:v>12.820512820512819</c:v>
                </c:pt>
                <c:pt idx="28">
                  <c:v>65.158371040723978</c:v>
                </c:pt>
                <c:pt idx="29">
                  <c:v>4.5871559633027523</c:v>
                </c:pt>
                <c:pt idx="31">
                  <c:v>62.882096069869</c:v>
                </c:pt>
                <c:pt idx="32">
                  <c:v>8.59375</c:v>
                </c:pt>
                <c:pt idx="34">
                  <c:v>62.735849056603776</c:v>
                </c:pt>
                <c:pt idx="35">
                  <c:v>6.1855670103092786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BE-4D5E-8220-9A1F8C1588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806751120"/>
        <c:axId val="806745840"/>
      </c:barChart>
      <c:catAx>
        <c:axId val="80675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745840"/>
        <c:crosses val="autoZero"/>
        <c:auto val="1"/>
        <c:lblAlgn val="ctr"/>
        <c:lblOffset val="100"/>
        <c:noMultiLvlLbl val="0"/>
      </c:catAx>
      <c:valAx>
        <c:axId val="80674584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75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3776076326850707"/>
          <c:y val="9.724244744510796E-2"/>
          <c:w val="0.15418170153737337"/>
          <c:h val="5.1240180005537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366FF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3366FF"/>
                </a:solidFill>
              </a:rPr>
              <a:t>TOTAL ACTIVE TRIALISTS This Month + 7 Days</a:t>
            </a:r>
          </a:p>
        </c:rich>
      </c:tx>
      <c:layout>
        <c:manualLayout>
          <c:xMode val="edge"/>
          <c:yMode val="edge"/>
          <c:x val="2.711992114513434E-2"/>
          <c:y val="1.13791549638410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366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443599057929485E-2"/>
          <c:y val="0.18341918346398112"/>
          <c:w val="0.93311280188414103"/>
          <c:h val="0.687098491980858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TRIALISTS!$BD$12</c:f>
              <c:strCache>
                <c:ptCount val="1"/>
                <c:pt idx="0">
                  <c:v>CB iOS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TRIALISTS!$BB$13:$BC$26</c15:sqref>
                  </c15:fullRef>
                </c:ext>
              </c:extLst>
              <c:f>TRIALISTS!$BB$15:$BC$26</c:f>
              <c:multiLvlStrCache>
                <c:ptCount val="12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</c:lvl>
                <c:lvl>
                  <c:pt idx="10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TRIALISTS!$BD$13:$BD$26</c15:sqref>
                  </c15:fullRef>
                </c:ext>
              </c:extLst>
              <c:f>TRIALISTS!$BD$15:$BD$26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7-4653-BF2C-B6A048D1948A}"/>
            </c:ext>
          </c:extLst>
        </c:ser>
        <c:ser>
          <c:idx val="1"/>
          <c:order val="1"/>
          <c:tx>
            <c:strRef>
              <c:f>TRIALISTS!$BE$12</c:f>
              <c:strCache>
                <c:ptCount val="1"/>
                <c:pt idx="0">
                  <c:v>CB Web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TRIALISTS!$BB$13:$BC$26</c15:sqref>
                  </c15:fullRef>
                </c:ext>
              </c:extLst>
              <c:f>TRIALISTS!$BB$15:$BC$26</c:f>
              <c:multiLvlStrCache>
                <c:ptCount val="12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</c:lvl>
                <c:lvl>
                  <c:pt idx="10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TRIALISTS!$BE$13:$BE$26</c15:sqref>
                  </c15:fullRef>
                </c:ext>
              </c:extLst>
              <c:f>TRIALISTS!$BE$15:$BE$26</c:f>
              <c:numCache>
                <c:formatCode>General</c:formatCode>
                <c:ptCount val="12"/>
                <c:pt idx="0">
                  <c:v>125</c:v>
                </c:pt>
                <c:pt idx="1">
                  <c:v>125</c:v>
                </c:pt>
                <c:pt idx="2">
                  <c:v>87</c:v>
                </c:pt>
                <c:pt idx="3">
                  <c:v>93</c:v>
                </c:pt>
                <c:pt idx="4">
                  <c:v>75</c:v>
                </c:pt>
                <c:pt idx="5">
                  <c:v>78</c:v>
                </c:pt>
                <c:pt idx="6">
                  <c:v>79</c:v>
                </c:pt>
                <c:pt idx="7">
                  <c:v>101</c:v>
                </c:pt>
                <c:pt idx="8">
                  <c:v>64</c:v>
                </c:pt>
                <c:pt idx="9">
                  <c:v>77</c:v>
                </c:pt>
                <c:pt idx="10">
                  <c:v>85</c:v>
                </c:pt>
                <c:pt idx="1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27-4653-BF2C-B6A048D1948A}"/>
            </c:ext>
          </c:extLst>
        </c:ser>
        <c:ser>
          <c:idx val="2"/>
          <c:order val="2"/>
          <c:tx>
            <c:strRef>
              <c:f>TRIALISTS!$BF$12</c:f>
              <c:strCache>
                <c:ptCount val="1"/>
                <c:pt idx="0">
                  <c:v>Google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TRIALISTS!$BB$13:$BC$26</c15:sqref>
                  </c15:fullRef>
                </c:ext>
              </c:extLst>
              <c:f>TRIALISTS!$BB$15:$BC$26</c:f>
              <c:multiLvlStrCache>
                <c:ptCount val="12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</c:lvl>
                <c:lvl>
                  <c:pt idx="10">
                    <c:v>2026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TRIALISTS!$BF$13:$BF$26</c15:sqref>
                  </c15:fullRef>
                </c:ext>
              </c:extLst>
              <c:f>TRIALISTS!$BF$15:$BF$26</c:f>
              <c:numCache>
                <c:formatCode>General</c:formatCode>
                <c:ptCount val="12"/>
                <c:pt idx="0">
                  <c:v>108</c:v>
                </c:pt>
                <c:pt idx="1">
                  <c:v>107</c:v>
                </c:pt>
                <c:pt idx="2">
                  <c:v>144</c:v>
                </c:pt>
                <c:pt idx="3">
                  <c:v>183</c:v>
                </c:pt>
                <c:pt idx="4">
                  <c:v>167</c:v>
                </c:pt>
                <c:pt idx="5">
                  <c:v>74</c:v>
                </c:pt>
                <c:pt idx="6">
                  <c:v>158</c:v>
                </c:pt>
                <c:pt idx="7">
                  <c:v>95</c:v>
                </c:pt>
                <c:pt idx="8">
                  <c:v>102</c:v>
                </c:pt>
                <c:pt idx="9">
                  <c:v>104</c:v>
                </c:pt>
                <c:pt idx="10">
                  <c:v>117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27-4653-BF2C-B6A048D194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967267136"/>
        <c:axId val="967270016"/>
      </c:barChart>
      <c:catAx>
        <c:axId val="967267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70016"/>
        <c:crosses val="autoZero"/>
        <c:auto val="1"/>
        <c:lblAlgn val="ctr"/>
        <c:lblOffset val="100"/>
        <c:noMultiLvlLbl val="0"/>
      </c:catAx>
      <c:valAx>
        <c:axId val="9672700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6726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296898</xdr:colOff>
      <xdr:row>3</xdr:row>
      <xdr:rowOff>1128</xdr:rowOff>
    </xdr:from>
    <xdr:to>
      <xdr:col>12</xdr:col>
      <xdr:colOff>22860</xdr:colOff>
      <xdr:row>25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74A41B-990C-4C85-8A97-89D516F77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335279</xdr:colOff>
      <xdr:row>57</xdr:row>
      <xdr:rowOff>8748</xdr:rowOff>
    </xdr:from>
    <xdr:to>
      <xdr:col>10</xdr:col>
      <xdr:colOff>536222</xdr:colOff>
      <xdr:row>72</xdr:row>
      <xdr:rowOff>82380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514239-D92A-4A35-BF6E-82FE83C92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239889</xdr:colOff>
      <xdr:row>57</xdr:row>
      <xdr:rowOff>21166</xdr:rowOff>
    </xdr:from>
    <xdr:to>
      <xdr:col>21</xdr:col>
      <xdr:colOff>98778</xdr:colOff>
      <xdr:row>72</xdr:row>
      <xdr:rowOff>86235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C8EDAF-BA0F-4578-95A4-65B76124A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331610</xdr:colOff>
      <xdr:row>73</xdr:row>
      <xdr:rowOff>134055</xdr:rowOff>
    </xdr:from>
    <xdr:to>
      <xdr:col>10</xdr:col>
      <xdr:colOff>557389</xdr:colOff>
      <xdr:row>89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0B5787-4AFA-41E5-A804-5324B2DB9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232834</xdr:colOff>
      <xdr:row>73</xdr:row>
      <xdr:rowOff>134055</xdr:rowOff>
    </xdr:from>
    <xdr:to>
      <xdr:col>21</xdr:col>
      <xdr:colOff>129540</xdr:colOff>
      <xdr:row>89</xdr:row>
      <xdr:rowOff>50023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3D5CD01-E693-4C7E-90ED-EDD25EF55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312983</xdr:colOff>
      <xdr:row>27</xdr:row>
      <xdr:rowOff>122762</xdr:rowOff>
    </xdr:from>
    <xdr:to>
      <xdr:col>21</xdr:col>
      <xdr:colOff>228600</xdr:colOff>
      <xdr:row>50</xdr:row>
      <xdr:rowOff>99060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E468F986-9613-434B-AC93-DBB71EF7D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295792</xdr:colOff>
      <xdr:row>2</xdr:row>
      <xdr:rowOff>166254</xdr:rowOff>
    </xdr:from>
    <xdr:to>
      <xdr:col>21</xdr:col>
      <xdr:colOff>228600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57C923-FB35-41EC-9B96-6FF834D27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076063C-8575-4974-B155-1D2D2943C168}" name="Table9" displayName="Table9" ref="I12:O54" totalsRowShown="0">
  <autoFilter ref="I12:O54" xr:uid="{E076063C-8575-4974-B155-1D2D2943C168}"/>
  <tableColumns count="7">
    <tableColumn id="1" xr3:uid="{9128C0B2-3283-498E-B240-4C681C7710A8}" name="YEAR"/>
    <tableColumn id="2" xr3:uid="{401A89A9-6C25-4C0D-A121-F0B0C8FD6596}" name="MONTH"/>
    <tableColumn id="3" xr3:uid="{90E65BC7-435E-48D3-A360-EF730A4AFF93}" name="SOURCE"/>
    <tableColumn id="4" xr3:uid="{EAEE2A19-773E-4116-8A9B-75C81D6851D2}" name="TOTAL"/>
    <tableColumn id="5" xr3:uid="{84E913F1-2BE2-423B-955A-D1115871C514}" name="This month"/>
    <tableColumn id="6" xr3:uid="{C95A7B0D-9A42-4151-A43D-DE6AAE5CDA78}" name="Next mth 1-7"/>
    <tableColumn id="7" xr3:uid="{752BCAD0-59CD-4C06-A9D7-4D5B64163DED}" name="NO">
      <calculatedColumnFormula>L13-M13-N13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A180E2C-EAB1-4F81-A89A-1526D5E5A2BD}" name="Table91" displayName="Table91" ref="R12:U54" totalsRowShown="0">
  <autoFilter ref="R12:U54" xr:uid="{DA180E2C-EAB1-4F81-A89A-1526D5E5A2BD}"/>
  <tableColumns count="4">
    <tableColumn id="1" xr3:uid="{A65DF17A-2274-49C0-80AD-567479F3E71C}" name="YEAR"/>
    <tableColumn id="2" xr3:uid="{EEC2ED86-730B-4C73-9144-8D95B0156684}" name="MONTH"/>
    <tableColumn id="3" xr3:uid="{70ED0F18-A83D-4D27-A057-24B4BCBB3378}" name="SOURCE"/>
    <tableColumn id="4" xr3:uid="{EA7C9B5A-22FB-421A-AE3F-147058AB8577}" name="Column1">
      <calculatedColumnFormula>Table9[[#This Row],[TOTAL]]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9B771A8-6841-46F3-966B-E4A0338183E5}" name="Table93" displayName="Table93" ref="AD12:AG54" totalsRowShown="0">
  <autoFilter ref="AD12:AG54" xr:uid="{D9B771A8-6841-46F3-966B-E4A0338183E5}"/>
  <tableColumns count="4">
    <tableColumn id="1" xr3:uid="{2FB71971-7D03-4565-AE95-C31CA297E810}" name="YEAR"/>
    <tableColumn id="2" xr3:uid="{F8A5A16A-3ADE-4022-AF4F-BEE17547E6F0}" name="MONTH"/>
    <tableColumn id="3" xr3:uid="{CB6AFD53-38E0-43C0-BDC7-E17BC734A7EE}" name="SOURCE"/>
    <tableColumn id="4" xr3:uid="{6F333A43-B9EA-4679-A791-5611C6D48D07}" name="Next month 1-7" dataDxfId="9">
      <calculatedColumnFormula>Table9[[#This Row],[Next mth 1-7]]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AF9ACF-F1B2-4268-9EDF-CB262E6B3D56}" name="Table94" displayName="Table94" ref="AJ12:AM54" totalsRowShown="0">
  <autoFilter ref="AJ12:AM54" xr:uid="{E4AF9ACF-F1B2-4268-9EDF-CB262E6B3D56}"/>
  <tableColumns count="4">
    <tableColumn id="1" xr3:uid="{349FC560-A3CF-46EF-8198-195B63969A13}" name="YEAR"/>
    <tableColumn id="2" xr3:uid="{4BE55748-2BAE-43C3-97FB-9077A7FA3111}" name="MONTH"/>
    <tableColumn id="3" xr3:uid="{E09586FD-6773-40CE-881D-FE4D6ACD0F9D}" name="SOURCE"/>
    <tableColumn id="4" xr3:uid="{F2377523-7D29-469A-AD01-5ED0A8ED1F6D}" name="NO" dataDxfId="8">
      <calculatedColumnFormula>Table9[[#This Row],[NO]]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3AA88EA-2845-4A8F-858F-57AB199BADA4}" name="Table95" displayName="Table95" ref="AP12:AS26" totalsRowShown="0">
  <autoFilter ref="AP12:AS26" xr:uid="{E3AA88EA-2845-4A8F-858F-57AB199BADA4}"/>
  <tableColumns count="4">
    <tableColumn id="1" xr3:uid="{95790C16-BB25-47C7-85CC-9B318A215A68}" name="YEAR"/>
    <tableColumn id="2" xr3:uid="{CF3A701D-F5C4-47F4-ADD9-B8C09E4B2884}" name="MONTH"/>
    <tableColumn id="3" xr3:uid="{E8F533C1-A871-4250-9D43-19E7970FA7A8}" name="TOTAL"/>
    <tableColumn id="4" xr3:uid="{6A21B8EA-E74B-4C2C-B32B-3C7209BDAE4D}" name="TOTAL2">
      <calculatedColumnFormula>Table97[[#This Row],[TOTAL]]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BF6B02E-265F-4152-8BF6-9A18B393C089}" name="Table90" displayName="Table90" ref="B12:G54" totalsRowShown="0">
  <autoFilter ref="B12:G54" xr:uid="{5BF6B02E-265F-4152-8BF6-9A18B393C089}"/>
  <tableColumns count="6">
    <tableColumn id="1" xr3:uid="{ED1068C4-41D6-45AB-80AB-3FED012417BA}" name="YEAR"/>
    <tableColumn id="2" xr3:uid="{893262A8-006B-4AAD-83A3-0C230DE7B248}" name="MONTH"/>
    <tableColumn id="3" xr3:uid="{2D7EDA16-46B9-4A63-AD5D-6141E7BF51BA}" name="SOURCE"/>
    <tableColumn id="5" xr3:uid="{7B0EDFFC-D380-46A5-BCE2-843163CF7925}" name="This month" dataDxfId="7">
      <calculatedColumnFormula>Table9[[#This Row],[This month]]/Table9[[#This Row],[TOTAL]]*100</calculatedColumnFormula>
    </tableColumn>
    <tableColumn id="6" xr3:uid="{154ACBA4-7832-4EE8-8BE9-970B0495BB58}" name="Next mth 1-7" dataDxfId="6">
      <calculatedColumnFormula>Table9[[#This Row],[Next mth 1-7]]/Table9[[#This Row],[TOTAL]]*100</calculatedColumnFormula>
    </tableColumn>
    <tableColumn id="7" xr3:uid="{1E222F19-2B83-4620-A789-74EF1322CE73}" name="NO" dataDxfId="5">
      <calculatedColumnFormula>Table9[[#This Row],[NO]]/Table9[[#This Row],[TOTAL]]*100</calculatedColumnFormula>
    </tableColumn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525D4F7-E4B4-496F-A65B-E7043D1C0A20}" name="Table92" displayName="Table92" ref="X12:AA54" totalsRowShown="0">
  <autoFilter ref="X12:AA54" xr:uid="{C525D4F7-E4B4-496F-A65B-E7043D1C0A20}"/>
  <tableColumns count="4">
    <tableColumn id="1" xr3:uid="{F072D5CD-B339-444D-B18B-464539AA7187}" name="YEAR"/>
    <tableColumn id="2" xr3:uid="{58AD351F-E67B-453A-A172-29BCEF667FC8}" name="MONTH"/>
    <tableColumn id="3" xr3:uid="{0830EE97-54E1-41F9-BE28-7766233FCB4E}" name="SOURCE"/>
    <tableColumn id="4" xr3:uid="{86AB333B-4ED3-4D0F-8AF9-9C39F528F4E7}" name="This Month" dataDxfId="4">
      <calculatedColumnFormula>Table9[[#This Row],[This month]]</calculatedColumnFormula>
    </tableColumn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CAAF25-66E4-46EC-AE13-8B85C56AA035}" name="Table96" displayName="Table96" ref="AV12:AY54" totalsRowShown="0">
  <autoFilter ref="AV12:AY54" xr:uid="{E6CAAF25-66E4-46EC-AE13-8B85C56AA035}"/>
  <tableColumns count="4">
    <tableColumn id="1" xr3:uid="{34EEF5F7-0549-4F0C-B960-0161F1AEA4B5}" name="YEAR"/>
    <tableColumn id="2" xr3:uid="{D32E8ADE-342B-4085-9778-811813E81024}" name="MONTH"/>
    <tableColumn id="3" xr3:uid="{7015D1D6-7680-40E5-BF5F-336CCE551B90}" name="SOURCE"/>
    <tableColumn id="4" xr3:uid="{30957FC3-5BEB-4133-9B5A-81468A08EDC8}" name="This Month + 7 Days" dataDxfId="3">
      <calculatedColumnFormula>Table9[[#This Row],[This month]]</calculatedColumnFormula>
    </tableColumn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0E2F30-D1C0-4DBE-B3F9-F86206E20EA5}" name="Table97" displayName="Table97" ref="BB12:BG26" totalsRowShown="0">
  <autoFilter ref="BB12:BG26" xr:uid="{910E2F30-D1C0-4DBE-B3F9-F86206E20EA5}"/>
  <tableColumns count="6">
    <tableColumn id="1" xr3:uid="{FC09E167-8BDF-46ED-8A10-6679CD6B1B1A}" name="YEAR"/>
    <tableColumn id="2" xr3:uid="{EF49160F-8241-402B-85B3-FD0A9C05E9A5}" name="MONTH"/>
    <tableColumn id="4" xr3:uid="{16AF1767-09E7-4694-97B7-15058D53EFFF}" name="CB iOS" dataDxfId="2"/>
    <tableColumn id="5" xr3:uid="{963A8003-05A8-406B-BED0-4335087DDB27}" name="CB Web" dataDxfId="1"/>
    <tableColumn id="6" xr3:uid="{AF6D1C0E-C6E7-431A-8811-92B4B1FB6E5D}" name="Google" dataDxfId="0"/>
    <tableColumn id="3" xr3:uid="{94F75091-5F25-4AB1-B450-BCE41351384C}" name="TOTAL">
      <calculatedColumnFormula>SUM(Table97[[#This Row],[CB iOS]:[Google]])</calculatedColumnFormula>
    </tableColumn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BB5717-6EB1-4443-8DA9-790F8090681F}" name="Table98" displayName="Table98" ref="BJ12:BL26" totalsRowShown="0">
  <autoFilter ref="BJ12:BL26" xr:uid="{04BB5717-6EB1-4443-8DA9-790F8090681F}"/>
  <tableColumns count="3">
    <tableColumn id="1" xr3:uid="{76F9AB15-D19D-4DFB-BB0E-8A6480B4C531}" name="YEAR"/>
    <tableColumn id="2" xr3:uid="{DED51AAB-6A6E-4BC4-A57A-3FBE68F294FF}" name="MONTH"/>
    <tableColumn id="3" xr3:uid="{757038C6-B0EB-45D8-9583-4647660663FF}" name="TOTAL">
      <calculatedColumnFormula>Table97[[#This Row],[TOTAL]]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B9ED-D3FC-4832-AB35-8BE88B85A7C7}">
  <sheetPr>
    <tabColor theme="4" tint="-0.249977111117893"/>
    <pageSetUpPr fitToPage="1"/>
  </sheetPr>
  <dimension ref="A1:V91"/>
  <sheetViews>
    <sheetView showGridLines="0" tabSelected="1" zoomScaleNormal="100" workbookViewId="0">
      <selection activeCell="M26" sqref="M26"/>
    </sheetView>
  </sheetViews>
  <sheetFormatPr defaultRowHeight="14.4" x14ac:dyDescent="0.3"/>
  <cols>
    <col min="20" max="20" width="6.5546875" customWidth="1"/>
  </cols>
  <sheetData>
    <row r="1" spans="1:22" ht="25.8" x14ac:dyDescent="0.5">
      <c r="A1" s="10" t="s">
        <v>31</v>
      </c>
      <c r="B1" s="11"/>
      <c r="C1" s="14">
        <v>46054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 ht="18.600000000000001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6" spans="1:22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2"/>
      <c r="S61" s="11"/>
      <c r="T61" s="11"/>
      <c r="U61" s="11"/>
      <c r="V61" s="11"/>
    </row>
    <row r="62" spans="1:22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</sheetData>
  <pageMargins left="0.31496062992125984" right="0.31496062992125984" top="0.35433070866141736" bottom="0.35433070866141736" header="0.31496062992125984" footer="0.31496062992125984"/>
  <pageSetup paperSize="9" scale="72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DB79-A27F-46B3-8C69-5BB133C42A0E}">
  <dimension ref="B3:BL55"/>
  <sheetViews>
    <sheetView topLeftCell="A3" zoomScaleNormal="100" workbookViewId="0">
      <selection activeCell="M17" sqref="M17"/>
    </sheetView>
  </sheetViews>
  <sheetFormatPr defaultRowHeight="14.4" x14ac:dyDescent="0.3"/>
  <cols>
    <col min="2" max="2" width="9.44140625" customWidth="1"/>
    <col min="4" max="4" width="12.109375" customWidth="1"/>
    <col min="10" max="10" width="9.44140625" customWidth="1"/>
    <col min="11" max="11" width="10.33203125" customWidth="1"/>
    <col min="13" max="13" width="12.109375" customWidth="1"/>
    <col min="14" max="14" width="13.77734375" customWidth="1"/>
    <col min="51" max="51" width="17.77734375" customWidth="1"/>
  </cols>
  <sheetData>
    <row r="3" spans="2:64" ht="44.4" customHeight="1" x14ac:dyDescent="0.3"/>
    <row r="4" spans="2:64" ht="18.600000000000001" customHeight="1" x14ac:dyDescent="0.3"/>
    <row r="8" spans="2:64" x14ac:dyDescent="0.3">
      <c r="I8" t="s">
        <v>23</v>
      </c>
    </row>
    <row r="10" spans="2:64" ht="21" x14ac:dyDescent="0.4">
      <c r="B10" s="8" t="s">
        <v>24</v>
      </c>
      <c r="C10" s="4"/>
      <c r="D10" s="4"/>
      <c r="E10" s="4"/>
      <c r="F10" s="4"/>
      <c r="G10" s="4"/>
      <c r="H10" s="4"/>
      <c r="I10" s="8" t="s">
        <v>25</v>
      </c>
      <c r="R10" s="7" t="s">
        <v>2</v>
      </c>
      <c r="X10" s="7" t="s">
        <v>19</v>
      </c>
      <c r="AD10" s="7" t="s">
        <v>20</v>
      </c>
      <c r="AJ10" s="7" t="s">
        <v>21</v>
      </c>
      <c r="AP10" s="7" t="s">
        <v>2</v>
      </c>
      <c r="AV10" s="13" t="s">
        <v>34</v>
      </c>
      <c r="BB10" s="13" t="s">
        <v>35</v>
      </c>
      <c r="BJ10" s="13" t="s">
        <v>36</v>
      </c>
    </row>
    <row r="11" spans="2:64" x14ac:dyDescent="0.3">
      <c r="B11" s="4"/>
      <c r="C11" s="4"/>
      <c r="D11" s="4"/>
      <c r="E11" s="4"/>
      <c r="F11" s="4"/>
      <c r="G11" s="4"/>
      <c r="H11" s="4"/>
      <c r="I11" s="4" t="s">
        <v>22</v>
      </c>
    </row>
    <row r="12" spans="2:64" ht="28.8" x14ac:dyDescent="0.3">
      <c r="B12" t="s">
        <v>16</v>
      </c>
      <c r="C12" t="s">
        <v>12</v>
      </c>
      <c r="D12" t="s">
        <v>15</v>
      </c>
      <c r="E12" t="s">
        <v>13</v>
      </c>
      <c r="F12" s="6" t="s">
        <v>14</v>
      </c>
      <c r="G12" t="s">
        <v>1</v>
      </c>
      <c r="I12" t="s">
        <v>16</v>
      </c>
      <c r="J12" t="s">
        <v>12</v>
      </c>
      <c r="K12" t="s">
        <v>15</v>
      </c>
      <c r="L12" t="s">
        <v>2</v>
      </c>
      <c r="M12" t="s">
        <v>13</v>
      </c>
      <c r="N12" s="6" t="s">
        <v>14</v>
      </c>
      <c r="O12" t="s">
        <v>1</v>
      </c>
      <c r="R12" t="s">
        <v>16</v>
      </c>
      <c r="S12" t="s">
        <v>12</v>
      </c>
      <c r="T12" t="s">
        <v>15</v>
      </c>
      <c r="U12" t="s">
        <v>26</v>
      </c>
      <c r="X12" t="s">
        <v>16</v>
      </c>
      <c r="Y12" t="s">
        <v>12</v>
      </c>
      <c r="Z12" t="s">
        <v>15</v>
      </c>
      <c r="AA12" t="s">
        <v>17</v>
      </c>
      <c r="AD12" t="s">
        <v>16</v>
      </c>
      <c r="AE12" t="s">
        <v>12</v>
      </c>
      <c r="AF12" t="s">
        <v>15</v>
      </c>
      <c r="AG12" t="s">
        <v>18</v>
      </c>
      <c r="AJ12" t="s">
        <v>16</v>
      </c>
      <c r="AK12" t="s">
        <v>12</v>
      </c>
      <c r="AL12" t="s">
        <v>15</v>
      </c>
      <c r="AM12" t="s">
        <v>1</v>
      </c>
      <c r="AP12" t="s">
        <v>16</v>
      </c>
      <c r="AQ12" t="s">
        <v>12</v>
      </c>
      <c r="AR12" t="s">
        <v>2</v>
      </c>
      <c r="AS12" t="s">
        <v>37</v>
      </c>
      <c r="AV12" t="s">
        <v>16</v>
      </c>
      <c r="AW12" t="s">
        <v>12</v>
      </c>
      <c r="AX12" t="s">
        <v>15</v>
      </c>
      <c r="AY12" t="s">
        <v>33</v>
      </c>
      <c r="BB12" t="s">
        <v>16</v>
      </c>
      <c r="BC12" t="s">
        <v>12</v>
      </c>
      <c r="BD12" t="s">
        <v>4</v>
      </c>
      <c r="BE12" t="s">
        <v>5</v>
      </c>
      <c r="BF12" t="s">
        <v>0</v>
      </c>
      <c r="BG12" t="s">
        <v>2</v>
      </c>
      <c r="BJ12" t="s">
        <v>16</v>
      </c>
      <c r="BK12" t="s">
        <v>12</v>
      </c>
      <c r="BL12" t="s">
        <v>2</v>
      </c>
    </row>
    <row r="13" spans="2:64" x14ac:dyDescent="0.3">
      <c r="B13">
        <v>2025</v>
      </c>
      <c r="C13" t="s">
        <v>7</v>
      </c>
      <c r="D13" t="s">
        <v>4</v>
      </c>
      <c r="E13" s="5"/>
      <c r="F13" s="5"/>
      <c r="G13" s="5"/>
      <c r="I13">
        <v>2025</v>
      </c>
      <c r="J13" t="s">
        <v>7</v>
      </c>
      <c r="K13" t="s">
        <v>4</v>
      </c>
      <c r="R13">
        <v>2025</v>
      </c>
      <c r="S13" t="s">
        <v>7</v>
      </c>
      <c r="T13" t="s">
        <v>4</v>
      </c>
      <c r="X13">
        <v>2025</v>
      </c>
      <c r="Y13" t="s">
        <v>7</v>
      </c>
      <c r="Z13" t="s">
        <v>4</v>
      </c>
      <c r="AD13">
        <v>2025</v>
      </c>
      <c r="AE13" t="s">
        <v>7</v>
      </c>
      <c r="AF13" t="s">
        <v>4</v>
      </c>
      <c r="AJ13">
        <v>2025</v>
      </c>
      <c r="AK13" t="s">
        <v>7</v>
      </c>
      <c r="AL13" t="s">
        <v>4</v>
      </c>
      <c r="AP13">
        <v>2025</v>
      </c>
      <c r="AQ13" t="s">
        <v>7</v>
      </c>
      <c r="AR13">
        <f>SUM(L13:L15)</f>
        <v>377</v>
      </c>
      <c r="AS13">
        <f>Table97[[#This Row],[TOTAL]]</f>
        <v>199</v>
      </c>
      <c r="AV13">
        <v>2025</v>
      </c>
      <c r="AW13" t="s">
        <v>7</v>
      </c>
      <c r="AX13" t="s">
        <v>4</v>
      </c>
      <c r="BB13">
        <v>2025</v>
      </c>
      <c r="BC13" t="s">
        <v>7</v>
      </c>
      <c r="BD13" s="15">
        <f>Table96[[#This Row],[This Month + 7 Days]]</f>
        <v>0</v>
      </c>
      <c r="BE13" s="15">
        <f>AY14</f>
        <v>84</v>
      </c>
      <c r="BF13" s="15">
        <f>AY15</f>
        <v>115</v>
      </c>
      <c r="BG13">
        <f>SUM(Table97[[#This Row],[CB iOS]:[Google]])</f>
        <v>199</v>
      </c>
      <c r="BJ13">
        <v>2025</v>
      </c>
      <c r="BK13" t="s">
        <v>7</v>
      </c>
      <c r="BL13">
        <f>Table97[[#This Row],[TOTAL]]</f>
        <v>199</v>
      </c>
    </row>
    <row r="14" spans="2:64" x14ac:dyDescent="0.3">
      <c r="D14" t="s">
        <v>5</v>
      </c>
      <c r="E14" s="5">
        <f>Table9[[#This Row],[This month]]/Table9[[#This Row],[TOTAL]]*100</f>
        <v>25</v>
      </c>
      <c r="F14" s="5">
        <f>Table9[[#This Row],[Next mth 1-7]]/Table9[[#This Row],[TOTAL]]*100</f>
        <v>7.8125</v>
      </c>
      <c r="G14" s="5">
        <f>Table9[[#This Row],[NO]]/Table9[[#This Row],[TOTAL]]*100</f>
        <v>67.1875</v>
      </c>
      <c r="K14" t="s">
        <v>5</v>
      </c>
      <c r="L14" s="1">
        <v>256</v>
      </c>
      <c r="M14" s="1">
        <v>64</v>
      </c>
      <c r="N14" s="1">
        <v>20</v>
      </c>
      <c r="O14" s="1">
        <f>L14-M14-N14</f>
        <v>172</v>
      </c>
      <c r="T14" t="s">
        <v>5</v>
      </c>
      <c r="U14">
        <f>Table9[[#This Row],[TOTAL]]</f>
        <v>256</v>
      </c>
      <c r="Z14" t="s">
        <v>5</v>
      </c>
      <c r="AA14">
        <f>Table9[[#This Row],[This month]]</f>
        <v>64</v>
      </c>
      <c r="AF14" t="s">
        <v>5</v>
      </c>
      <c r="AG14">
        <f>Table9[[#This Row],[Next mth 1-7]]</f>
        <v>20</v>
      </c>
      <c r="AL14" t="s">
        <v>5</v>
      </c>
      <c r="AM14">
        <f>Table9[[#This Row],[NO]]</f>
        <v>172</v>
      </c>
      <c r="AQ14" t="s">
        <v>8</v>
      </c>
      <c r="AR14">
        <f>SUM(L16:L18)</f>
        <v>381</v>
      </c>
      <c r="AS14">
        <f>Table97[[#This Row],[TOTAL]]</f>
        <v>186</v>
      </c>
      <c r="AX14" t="s">
        <v>5</v>
      </c>
      <c r="AY14">
        <f>Table9[[#This Row],[This month]]+Table93[[#This Row],[Next month 1-7]]</f>
        <v>84</v>
      </c>
      <c r="BC14" t="s">
        <v>8</v>
      </c>
      <c r="BD14" s="15">
        <f>AY16</f>
        <v>0</v>
      </c>
      <c r="BE14" s="15">
        <f>AY17</f>
        <v>71</v>
      </c>
      <c r="BF14" s="15">
        <f>AY18</f>
        <v>115</v>
      </c>
      <c r="BG14">
        <f>SUM(Table97[[#This Row],[CB iOS]:[Google]])</f>
        <v>186</v>
      </c>
      <c r="BK14" t="s">
        <v>8</v>
      </c>
      <c r="BL14">
        <f>Table97[[#This Row],[TOTAL]]</f>
        <v>186</v>
      </c>
    </row>
    <row r="15" spans="2:64" x14ac:dyDescent="0.3">
      <c r="D15" t="s">
        <v>0</v>
      </c>
      <c r="E15" s="5">
        <f>Table9[[#This Row],[This month]]/Table9[[#This Row],[TOTAL]]*100</f>
        <v>95.041322314049594</v>
      </c>
      <c r="F15" s="5"/>
      <c r="G15" s="5">
        <f>Table9[[#This Row],[NO]]/Table9[[#This Row],[TOTAL]]*100</f>
        <v>4.9586776859504136</v>
      </c>
      <c r="K15" t="s">
        <v>0</v>
      </c>
      <c r="L15" s="9">
        <v>121</v>
      </c>
      <c r="M15" s="9">
        <v>115</v>
      </c>
      <c r="N15" s="9"/>
      <c r="O15" s="9">
        <f>L15-M15-N15</f>
        <v>6</v>
      </c>
      <c r="T15" t="s">
        <v>0</v>
      </c>
      <c r="U15">
        <f>Table9[[#This Row],[TOTAL]]</f>
        <v>121</v>
      </c>
      <c r="Z15" t="s">
        <v>0</v>
      </c>
      <c r="AA15">
        <f>Table9[[#This Row],[This month]]</f>
        <v>115</v>
      </c>
      <c r="AF15" t="s">
        <v>0</v>
      </c>
      <c r="AL15" t="s">
        <v>0</v>
      </c>
      <c r="AM15">
        <f>Table9[[#This Row],[NO]]</f>
        <v>6</v>
      </c>
      <c r="AQ15" t="s">
        <v>3</v>
      </c>
      <c r="AR15">
        <f>SUM(L19:L21)</f>
        <v>432</v>
      </c>
      <c r="AS15">
        <f>Table97[[#This Row],[TOTAL]]</f>
        <v>233</v>
      </c>
      <c r="AX15" t="s">
        <v>0</v>
      </c>
      <c r="AY15">
        <f>Table9[[#This Row],[This month]]+Table93[[#This Row],[Next month 1-7]]</f>
        <v>115</v>
      </c>
      <c r="BC15" t="s">
        <v>3</v>
      </c>
      <c r="BD15" s="15">
        <f>AY19</f>
        <v>0</v>
      </c>
      <c r="BE15" s="15">
        <f>AY20</f>
        <v>125</v>
      </c>
      <c r="BF15" s="15">
        <f>AY21</f>
        <v>108</v>
      </c>
      <c r="BG15">
        <f>SUM(Table97[[#This Row],[CB iOS]:[Google]])</f>
        <v>233</v>
      </c>
      <c r="BK15" t="s">
        <v>3</v>
      </c>
      <c r="BL15">
        <f>Table97[[#This Row],[TOTAL]]</f>
        <v>233</v>
      </c>
    </row>
    <row r="16" spans="2:64" x14ac:dyDescent="0.3">
      <c r="C16" t="s">
        <v>8</v>
      </c>
      <c r="D16" t="s">
        <v>4</v>
      </c>
      <c r="E16" s="5"/>
      <c r="F16" s="5"/>
      <c r="G16" s="5"/>
      <c r="J16" t="s">
        <v>8</v>
      </c>
      <c r="K16" t="s">
        <v>4</v>
      </c>
      <c r="L16" s="2"/>
      <c r="M16" s="2"/>
      <c r="N16" s="2"/>
      <c r="O16" s="2"/>
      <c r="S16" t="s">
        <v>8</v>
      </c>
      <c r="T16" t="s">
        <v>4</v>
      </c>
      <c r="Y16" t="s">
        <v>8</v>
      </c>
      <c r="Z16" t="s">
        <v>4</v>
      </c>
      <c r="AE16" t="s">
        <v>8</v>
      </c>
      <c r="AF16" t="s">
        <v>4</v>
      </c>
      <c r="AK16" t="s">
        <v>8</v>
      </c>
      <c r="AL16" t="s">
        <v>4</v>
      </c>
      <c r="AQ16" t="s">
        <v>9</v>
      </c>
      <c r="AR16">
        <f>SUM(L22:L24)</f>
        <v>522</v>
      </c>
      <c r="AS16">
        <f>Table97[[#This Row],[TOTAL]]</f>
        <v>232</v>
      </c>
      <c r="AW16" t="s">
        <v>8</v>
      </c>
      <c r="AX16" t="s">
        <v>4</v>
      </c>
      <c r="BC16" t="s">
        <v>9</v>
      </c>
      <c r="BD16" s="15">
        <f>AY22</f>
        <v>0</v>
      </c>
      <c r="BE16" s="15">
        <f>AY23</f>
        <v>125</v>
      </c>
      <c r="BF16" s="15">
        <f>AY24</f>
        <v>107</v>
      </c>
      <c r="BG16">
        <f>SUM(Table97[[#This Row],[CB iOS]:[Google]])</f>
        <v>232</v>
      </c>
      <c r="BK16" t="s">
        <v>9</v>
      </c>
      <c r="BL16">
        <f>Table97[[#This Row],[TOTAL]]</f>
        <v>232</v>
      </c>
    </row>
    <row r="17" spans="3:64" x14ac:dyDescent="0.3">
      <c r="D17" t="s">
        <v>5</v>
      </c>
      <c r="E17" s="5">
        <f>Table9[[#This Row],[This month]]/Table9[[#This Row],[TOTAL]]*100</f>
        <v>21.176470588235293</v>
      </c>
      <c r="F17" s="5">
        <f>Table9[[#This Row],[Next mth 1-7]]/Table9[[#This Row],[TOTAL]]*100</f>
        <v>6.666666666666667</v>
      </c>
      <c r="G17" s="5">
        <f>Table9[[#This Row],[NO]]/Table9[[#This Row],[TOTAL]]*100</f>
        <v>72.156862745098039</v>
      </c>
      <c r="K17" t="s">
        <v>5</v>
      </c>
      <c r="L17" s="1">
        <v>255</v>
      </c>
      <c r="M17" s="1">
        <v>54</v>
      </c>
      <c r="N17" s="1">
        <v>17</v>
      </c>
      <c r="O17" s="1">
        <f>L17-M17-N17</f>
        <v>184</v>
      </c>
      <c r="T17" t="s">
        <v>5</v>
      </c>
      <c r="U17">
        <f>Table9[[#This Row],[TOTAL]]</f>
        <v>255</v>
      </c>
      <c r="Z17" t="s">
        <v>5</v>
      </c>
      <c r="AA17">
        <f>Table9[[#This Row],[This month]]</f>
        <v>54</v>
      </c>
      <c r="AF17" t="s">
        <v>5</v>
      </c>
      <c r="AG17">
        <f>Table9[[#This Row],[Next mth 1-7]]</f>
        <v>17</v>
      </c>
      <c r="AL17" t="s">
        <v>5</v>
      </c>
      <c r="AM17">
        <f>Table9[[#This Row],[NO]]</f>
        <v>184</v>
      </c>
      <c r="AQ17" t="s">
        <v>10</v>
      </c>
      <c r="AR17">
        <f>SUM(L25:L27)</f>
        <v>654</v>
      </c>
      <c r="AS17">
        <f>Table97[[#This Row],[TOTAL]]</f>
        <v>231</v>
      </c>
      <c r="AX17" t="s">
        <v>5</v>
      </c>
      <c r="AY17">
        <f>Table9[[#This Row],[This month]]+Table93[[#This Row],[Next month 1-7]]</f>
        <v>71</v>
      </c>
      <c r="BC17" t="s">
        <v>10</v>
      </c>
      <c r="BD17" s="15">
        <f>AY25</f>
        <v>0</v>
      </c>
      <c r="BE17" s="15">
        <f>AY26</f>
        <v>87</v>
      </c>
      <c r="BF17" s="15">
        <f>AY27</f>
        <v>144</v>
      </c>
      <c r="BG17">
        <f>SUM(Table97[[#This Row],[CB iOS]:[Google]])</f>
        <v>231</v>
      </c>
      <c r="BK17" t="s">
        <v>10</v>
      </c>
      <c r="BL17">
        <f>Table97[[#This Row],[TOTAL]]</f>
        <v>231</v>
      </c>
    </row>
    <row r="18" spans="3:64" x14ac:dyDescent="0.3">
      <c r="D18" t="s">
        <v>0</v>
      </c>
      <c r="E18" s="5">
        <f>Table9[[#This Row],[This month]]/Table9[[#This Row],[TOTAL]]*100</f>
        <v>91.269841269841265</v>
      </c>
      <c r="F18" s="5"/>
      <c r="G18" s="5">
        <f>Table9[[#This Row],[NO]]/Table9[[#This Row],[TOTAL]]*100</f>
        <v>8.7301587301587293</v>
      </c>
      <c r="K18" t="s">
        <v>0</v>
      </c>
      <c r="L18" s="9">
        <v>126</v>
      </c>
      <c r="M18" s="9">
        <v>115</v>
      </c>
      <c r="N18" s="9"/>
      <c r="O18" s="9">
        <f>L18-M18-N18</f>
        <v>11</v>
      </c>
      <c r="T18" t="s">
        <v>0</v>
      </c>
      <c r="U18">
        <f>Table9[[#This Row],[TOTAL]]</f>
        <v>126</v>
      </c>
      <c r="Z18" t="s">
        <v>0</v>
      </c>
      <c r="AA18">
        <f>Table9[[#This Row],[This month]]</f>
        <v>115</v>
      </c>
      <c r="AF18" t="s">
        <v>0</v>
      </c>
      <c r="AL18" t="s">
        <v>0</v>
      </c>
      <c r="AM18">
        <f>Table9[[#This Row],[NO]]</f>
        <v>11</v>
      </c>
      <c r="AQ18" t="s">
        <v>11</v>
      </c>
      <c r="AR18">
        <f>SUM(L28:L30)</f>
        <v>781</v>
      </c>
      <c r="AS18">
        <f>Table97[[#This Row],[TOTAL]]</f>
        <v>276</v>
      </c>
      <c r="AX18" t="s">
        <v>0</v>
      </c>
      <c r="AY18">
        <f>Table9[[#This Row],[This month]]+Table93[[#This Row],[Next month 1-7]]</f>
        <v>115</v>
      </c>
      <c r="BC18" t="s">
        <v>11</v>
      </c>
      <c r="BD18" s="15">
        <f>AY28</f>
        <v>0</v>
      </c>
      <c r="BE18" s="15">
        <f>AY29</f>
        <v>93</v>
      </c>
      <c r="BF18" s="15">
        <f>AY30</f>
        <v>183</v>
      </c>
      <c r="BG18">
        <f>SUM(Table97[[#This Row],[CB iOS]:[Google]])</f>
        <v>276</v>
      </c>
      <c r="BK18" t="s">
        <v>11</v>
      </c>
      <c r="BL18">
        <f>Table97[[#This Row],[TOTAL]]</f>
        <v>276</v>
      </c>
    </row>
    <row r="19" spans="3:64" x14ac:dyDescent="0.3">
      <c r="C19" t="s">
        <v>3</v>
      </c>
      <c r="D19" t="s">
        <v>4</v>
      </c>
      <c r="E19" s="5"/>
      <c r="F19" s="5"/>
      <c r="G19" s="5"/>
      <c r="J19" t="s">
        <v>3</v>
      </c>
      <c r="K19" t="s">
        <v>4</v>
      </c>
      <c r="L19" s="2"/>
      <c r="M19" s="2"/>
      <c r="N19" s="2"/>
      <c r="O19" s="2"/>
      <c r="S19" t="s">
        <v>3</v>
      </c>
      <c r="T19" t="s">
        <v>4</v>
      </c>
      <c r="Y19" t="s">
        <v>3</v>
      </c>
      <c r="Z19" t="s">
        <v>4</v>
      </c>
      <c r="AE19" t="s">
        <v>3</v>
      </c>
      <c r="AF19" t="s">
        <v>4</v>
      </c>
      <c r="AK19" t="s">
        <v>3</v>
      </c>
      <c r="AL19" t="s">
        <v>4</v>
      </c>
      <c r="AQ19" t="s">
        <v>6</v>
      </c>
      <c r="AR19">
        <f>SUM(L31:L33)</f>
        <v>670</v>
      </c>
      <c r="AS19">
        <f>Table97[[#This Row],[TOTAL]]</f>
        <v>242</v>
      </c>
      <c r="AW19" t="s">
        <v>3</v>
      </c>
      <c r="AX19" t="s">
        <v>4</v>
      </c>
      <c r="BC19" t="s">
        <v>6</v>
      </c>
      <c r="BD19" s="15">
        <f>AY31</f>
        <v>0</v>
      </c>
      <c r="BE19" s="15">
        <f>AY32</f>
        <v>75</v>
      </c>
      <c r="BF19" s="15">
        <f>AY33</f>
        <v>167</v>
      </c>
      <c r="BG19">
        <f>SUM(Table97[[#This Row],[CB iOS]:[Google]])</f>
        <v>242</v>
      </c>
      <c r="BK19" t="s">
        <v>6</v>
      </c>
      <c r="BL19">
        <f>Table97[[#This Row],[TOTAL]]</f>
        <v>242</v>
      </c>
    </row>
    <row r="20" spans="3:64" x14ac:dyDescent="0.3">
      <c r="D20" t="s">
        <v>5</v>
      </c>
      <c r="E20" s="5">
        <f>Table9[[#This Row],[This month]]/Table9[[#This Row],[TOTAL]]*100</f>
        <v>27.760252365930597</v>
      </c>
      <c r="F20" s="5">
        <f>Table9[[#This Row],[Next mth 1-7]]/Table9[[#This Row],[TOTAL]]*100</f>
        <v>11.67192429022082</v>
      </c>
      <c r="G20" s="5">
        <f>Table9[[#This Row],[NO]]/Table9[[#This Row],[TOTAL]]*100</f>
        <v>60.56782334384858</v>
      </c>
      <c r="K20" t="s">
        <v>5</v>
      </c>
      <c r="L20" s="1">
        <v>317</v>
      </c>
      <c r="M20" s="1">
        <v>88</v>
      </c>
      <c r="N20" s="1">
        <v>37</v>
      </c>
      <c r="O20" s="1">
        <f>L20-M20-N20</f>
        <v>192</v>
      </c>
      <c r="T20" t="s">
        <v>5</v>
      </c>
      <c r="U20">
        <f>Table9[[#This Row],[TOTAL]]</f>
        <v>317</v>
      </c>
      <c r="Z20" t="s">
        <v>5</v>
      </c>
      <c r="AA20">
        <f>Table9[[#This Row],[This month]]</f>
        <v>88</v>
      </c>
      <c r="AF20" t="s">
        <v>5</v>
      </c>
      <c r="AG20">
        <f>Table9[[#This Row],[Next mth 1-7]]</f>
        <v>37</v>
      </c>
      <c r="AL20" t="s">
        <v>5</v>
      </c>
      <c r="AM20">
        <f>Table9[[#This Row],[NO]]</f>
        <v>192</v>
      </c>
      <c r="AQ20" t="s">
        <v>27</v>
      </c>
      <c r="AR20">
        <f>SUM(L34:L36)</f>
        <v>461</v>
      </c>
      <c r="AS20">
        <f>Table97[[#This Row],[TOTAL]]</f>
        <v>152</v>
      </c>
      <c r="AX20" t="s">
        <v>5</v>
      </c>
      <c r="AY20">
        <f>Table9[[#This Row],[This month]]+Table93[[#This Row],[Next month 1-7]]</f>
        <v>125</v>
      </c>
      <c r="BC20" t="s">
        <v>27</v>
      </c>
      <c r="BD20" s="15">
        <f>AY34</f>
        <v>0</v>
      </c>
      <c r="BE20" s="15">
        <f>AY35</f>
        <v>78</v>
      </c>
      <c r="BF20" s="15">
        <f>AY36</f>
        <v>74</v>
      </c>
      <c r="BG20">
        <f>SUM(Table97[[#This Row],[CB iOS]:[Google]])</f>
        <v>152</v>
      </c>
      <c r="BK20" t="s">
        <v>27</v>
      </c>
      <c r="BL20">
        <f>Table97[[#This Row],[TOTAL]]</f>
        <v>152</v>
      </c>
    </row>
    <row r="21" spans="3:64" x14ac:dyDescent="0.3">
      <c r="D21" t="s">
        <v>0</v>
      </c>
      <c r="E21" s="5">
        <f>Table9[[#This Row],[This month]]/Table9[[#This Row],[TOTAL]]*100</f>
        <v>93.913043478260875</v>
      </c>
      <c r="F21" s="5"/>
      <c r="G21" s="5">
        <f>Table9[[#This Row],[NO]]/Table9[[#This Row],[TOTAL]]*100</f>
        <v>6.0869565217391308</v>
      </c>
      <c r="K21" t="s">
        <v>0</v>
      </c>
      <c r="L21" s="9">
        <v>115</v>
      </c>
      <c r="M21" s="9">
        <v>108</v>
      </c>
      <c r="N21" s="9"/>
      <c r="O21" s="9">
        <f>L21-M21-N21</f>
        <v>7</v>
      </c>
      <c r="T21" t="s">
        <v>0</v>
      </c>
      <c r="U21">
        <f>Table9[[#This Row],[TOTAL]]</f>
        <v>115</v>
      </c>
      <c r="Z21" t="s">
        <v>0</v>
      </c>
      <c r="AA21">
        <f>Table9[[#This Row],[This month]]</f>
        <v>108</v>
      </c>
      <c r="AF21" t="s">
        <v>0</v>
      </c>
      <c r="AL21" t="s">
        <v>0</v>
      </c>
      <c r="AM21">
        <f>Table9[[#This Row],[NO]]</f>
        <v>7</v>
      </c>
      <c r="AQ21" t="s">
        <v>28</v>
      </c>
      <c r="AR21">
        <f>SUM(L37:L39)</f>
        <v>425</v>
      </c>
      <c r="AS21">
        <f>Table97[[#This Row],[TOTAL]]</f>
        <v>237</v>
      </c>
      <c r="AX21" t="s">
        <v>0</v>
      </c>
      <c r="AY21">
        <f>Table9[[#This Row],[This month]]+Table93[[#This Row],[Next month 1-7]]</f>
        <v>108</v>
      </c>
      <c r="BC21" t="s">
        <v>28</v>
      </c>
      <c r="BD21" s="15">
        <f>AY37</f>
        <v>0</v>
      </c>
      <c r="BE21" s="15">
        <f>AY38</f>
        <v>79</v>
      </c>
      <c r="BF21" s="15">
        <f>AY39</f>
        <v>158</v>
      </c>
      <c r="BG21">
        <f>SUM(Table97[[#This Row],[CB iOS]:[Google]])</f>
        <v>237</v>
      </c>
      <c r="BK21" t="s">
        <v>28</v>
      </c>
      <c r="BL21">
        <f>Table97[[#This Row],[TOTAL]]</f>
        <v>237</v>
      </c>
    </row>
    <row r="22" spans="3:64" x14ac:dyDescent="0.3">
      <c r="C22" t="s">
        <v>9</v>
      </c>
      <c r="D22" t="s">
        <v>4</v>
      </c>
      <c r="E22" s="5"/>
      <c r="F22" s="5"/>
      <c r="G22" s="5"/>
      <c r="J22" t="s">
        <v>9</v>
      </c>
      <c r="K22" t="s">
        <v>4</v>
      </c>
      <c r="L22" s="2"/>
      <c r="M22" s="2"/>
      <c r="N22" s="2"/>
      <c r="O22" s="2"/>
      <c r="S22" t="s">
        <v>9</v>
      </c>
      <c r="T22" t="s">
        <v>4</v>
      </c>
      <c r="Y22" t="s">
        <v>9</v>
      </c>
      <c r="Z22" t="s">
        <v>4</v>
      </c>
      <c r="AE22" t="s">
        <v>9</v>
      </c>
      <c r="AF22" t="s">
        <v>4</v>
      </c>
      <c r="AK22" t="s">
        <v>9</v>
      </c>
      <c r="AL22" t="s">
        <v>4</v>
      </c>
      <c r="AQ22" t="s">
        <v>29</v>
      </c>
      <c r="AR22">
        <f>SUM(L40:L42)</f>
        <v>369</v>
      </c>
      <c r="AS22">
        <f>Table97[[#This Row],[TOTAL]]</f>
        <v>196</v>
      </c>
      <c r="AW22" t="s">
        <v>9</v>
      </c>
      <c r="AX22" t="s">
        <v>4</v>
      </c>
      <c r="BC22" t="s">
        <v>29</v>
      </c>
      <c r="BD22" s="15">
        <f>AY40</f>
        <v>0</v>
      </c>
      <c r="BE22" s="15">
        <f>AY41</f>
        <v>101</v>
      </c>
      <c r="BF22" s="15">
        <f>AY42</f>
        <v>95</v>
      </c>
      <c r="BG22">
        <f>SUM(Table97[[#This Row],[CB iOS]:[Google]])</f>
        <v>196</v>
      </c>
      <c r="BK22" t="s">
        <v>29</v>
      </c>
      <c r="BL22">
        <f>Table97[[#This Row],[TOTAL]]</f>
        <v>196</v>
      </c>
    </row>
    <row r="23" spans="3:64" x14ac:dyDescent="0.3">
      <c r="D23" t="s">
        <v>5</v>
      </c>
      <c r="E23" s="5">
        <f>Table9[[#This Row],[This month]]/Table9[[#This Row],[TOTAL]]*100</f>
        <v>21.674876847290641</v>
      </c>
      <c r="F23" s="5">
        <f>Table9[[#This Row],[Next mth 1-7]]/Table9[[#This Row],[TOTAL]]*100</f>
        <v>9.1133004926108381</v>
      </c>
      <c r="G23" s="5">
        <f>Table9[[#This Row],[NO]]/Table9[[#This Row],[TOTAL]]*100</f>
        <v>69.21182266009852</v>
      </c>
      <c r="K23" t="s">
        <v>5</v>
      </c>
      <c r="L23" s="1">
        <v>406</v>
      </c>
      <c r="M23" s="1">
        <v>88</v>
      </c>
      <c r="N23" s="1">
        <v>37</v>
      </c>
      <c r="O23" s="1">
        <f>L23-M23-N23</f>
        <v>281</v>
      </c>
      <c r="T23" t="s">
        <v>5</v>
      </c>
      <c r="U23">
        <f>Table9[[#This Row],[TOTAL]]</f>
        <v>406</v>
      </c>
      <c r="Z23" t="s">
        <v>5</v>
      </c>
      <c r="AA23">
        <f>Table9[[#This Row],[This month]]</f>
        <v>88</v>
      </c>
      <c r="AF23" t="s">
        <v>5</v>
      </c>
      <c r="AG23">
        <f>Table9[[#This Row],[Next mth 1-7]]</f>
        <v>37</v>
      </c>
      <c r="AL23" t="s">
        <v>5</v>
      </c>
      <c r="AM23">
        <f>Table9[[#This Row],[NO]]</f>
        <v>281</v>
      </c>
      <c r="AQ23" t="s">
        <v>30</v>
      </c>
      <c r="AR23">
        <f>SUM(L43:L45)</f>
        <v>333</v>
      </c>
      <c r="AS23">
        <f>Table97[[#This Row],[TOTAL]]</f>
        <v>166</v>
      </c>
      <c r="AX23" t="s">
        <v>5</v>
      </c>
      <c r="AY23">
        <f>Table9[[#This Row],[This month]]+Table93[[#This Row],[Next month 1-7]]</f>
        <v>125</v>
      </c>
      <c r="BC23" t="s">
        <v>30</v>
      </c>
      <c r="BD23" s="15">
        <f>AY43</f>
        <v>0</v>
      </c>
      <c r="BE23" s="15">
        <f>AY44</f>
        <v>64</v>
      </c>
      <c r="BF23" s="15">
        <f>AY45</f>
        <v>102</v>
      </c>
      <c r="BG23">
        <f>SUM(Table97[[#This Row],[CB iOS]:[Google]])</f>
        <v>166</v>
      </c>
      <c r="BK23" t="s">
        <v>30</v>
      </c>
      <c r="BL23">
        <f>Table97[[#This Row],[TOTAL]]</f>
        <v>166</v>
      </c>
    </row>
    <row r="24" spans="3:64" x14ac:dyDescent="0.3">
      <c r="D24" t="s">
        <v>0</v>
      </c>
      <c r="E24" s="5">
        <f>Table9[[#This Row],[This month]]/Table9[[#This Row],[TOTAL]]*100</f>
        <v>92.241379310344826</v>
      </c>
      <c r="F24" s="5"/>
      <c r="G24" s="5">
        <f>Table9[[#This Row],[NO]]/Table9[[#This Row],[TOTAL]]*100</f>
        <v>7.7586206896551726</v>
      </c>
      <c r="K24" t="s">
        <v>0</v>
      </c>
      <c r="L24" s="9">
        <v>116</v>
      </c>
      <c r="M24" s="9">
        <v>107</v>
      </c>
      <c r="N24" s="9"/>
      <c r="O24" s="9">
        <f>L24-M24-N24</f>
        <v>9</v>
      </c>
      <c r="T24" t="s">
        <v>0</v>
      </c>
      <c r="U24">
        <f>Table9[[#This Row],[TOTAL]]</f>
        <v>116</v>
      </c>
      <c r="Z24" t="s">
        <v>0</v>
      </c>
      <c r="AA24">
        <f>Table9[[#This Row],[This month]]</f>
        <v>107</v>
      </c>
      <c r="AF24" t="s">
        <v>0</v>
      </c>
      <c r="AL24" t="s">
        <v>0</v>
      </c>
      <c r="AM24">
        <f>Table9[[#This Row],[NO]]</f>
        <v>9</v>
      </c>
      <c r="AQ24" t="s">
        <v>32</v>
      </c>
      <c r="AR24">
        <f>SUM(L46:L48)</f>
        <v>330</v>
      </c>
      <c r="AS24">
        <f>Table97[[#This Row],[TOTAL]]</f>
        <v>181</v>
      </c>
      <c r="AX24" t="s">
        <v>0</v>
      </c>
      <c r="AY24">
        <f>Table9[[#This Row],[This month]]+Table93[[#This Row],[Next month 1-7]]</f>
        <v>107</v>
      </c>
      <c r="BC24" t="s">
        <v>32</v>
      </c>
      <c r="BD24" s="15">
        <f>AY46</f>
        <v>0</v>
      </c>
      <c r="BE24" s="15">
        <f>AY47</f>
        <v>77</v>
      </c>
      <c r="BF24" s="15">
        <f>AY48</f>
        <v>104</v>
      </c>
      <c r="BG24">
        <f>SUM(Table97[[#This Row],[CB iOS]:[Google]])</f>
        <v>181</v>
      </c>
      <c r="BK24" t="s">
        <v>32</v>
      </c>
      <c r="BL24">
        <f>Table97[[#This Row],[TOTAL]]</f>
        <v>181</v>
      </c>
    </row>
    <row r="25" spans="3:64" x14ac:dyDescent="0.3">
      <c r="C25" t="s">
        <v>10</v>
      </c>
      <c r="D25" t="s">
        <v>4</v>
      </c>
      <c r="E25" s="5"/>
      <c r="F25" s="5"/>
      <c r="G25" s="5"/>
      <c r="J25" t="s">
        <v>10</v>
      </c>
      <c r="K25" t="s">
        <v>4</v>
      </c>
      <c r="L25" s="2"/>
      <c r="M25" s="2"/>
      <c r="N25" s="2"/>
      <c r="O25" s="2"/>
      <c r="S25" t="s">
        <v>10</v>
      </c>
      <c r="T25" t="s">
        <v>4</v>
      </c>
      <c r="Y25" t="s">
        <v>10</v>
      </c>
      <c r="Z25" t="s">
        <v>4</v>
      </c>
      <c r="AE25" t="s">
        <v>10</v>
      </c>
      <c r="AF25" t="s">
        <v>4</v>
      </c>
      <c r="AK25" t="s">
        <v>10</v>
      </c>
      <c r="AL25" t="s">
        <v>4</v>
      </c>
      <c r="AP25">
        <v>2026</v>
      </c>
      <c r="AQ25" t="s">
        <v>7</v>
      </c>
      <c r="AR25">
        <f>SUM(L49:L51)</f>
        <v>357</v>
      </c>
      <c r="AS25">
        <f>Table97[[#This Row],[TOTAL]]</f>
        <v>202</v>
      </c>
      <c r="AW25" t="s">
        <v>10</v>
      </c>
      <c r="AX25" t="s">
        <v>4</v>
      </c>
      <c r="BB25">
        <v>2026</v>
      </c>
      <c r="BC25" t="s">
        <v>7</v>
      </c>
      <c r="BD25" s="15">
        <f>AY49</f>
        <v>0</v>
      </c>
      <c r="BE25" s="15">
        <f>AY50</f>
        <v>85</v>
      </c>
      <c r="BF25" s="15">
        <f>AY51</f>
        <v>117</v>
      </c>
      <c r="BG25">
        <f>SUM(Table97[[#This Row],[CB iOS]:[Google]])</f>
        <v>202</v>
      </c>
      <c r="BJ25">
        <v>2026</v>
      </c>
      <c r="BK25" t="s">
        <v>7</v>
      </c>
      <c r="BL25">
        <f>Table97[[#This Row],[TOTAL]]</f>
        <v>202</v>
      </c>
    </row>
    <row r="26" spans="3:64" x14ac:dyDescent="0.3">
      <c r="D26" t="s">
        <v>5</v>
      </c>
      <c r="E26" s="5">
        <f>Table9[[#This Row],[This month]]/Table9[[#This Row],[TOTAL]]*100</f>
        <v>14.97005988023952</v>
      </c>
      <c r="F26" s="5">
        <f>Table9[[#This Row],[Next mth 1-7]]/Table9[[#This Row],[TOTAL]]*100</f>
        <v>2.3952095808383236</v>
      </c>
      <c r="G26" s="5">
        <f>Table9[[#This Row],[NO]]/Table9[[#This Row],[TOTAL]]*100</f>
        <v>82.634730538922156</v>
      </c>
      <c r="K26" t="s">
        <v>5</v>
      </c>
      <c r="L26" s="1">
        <v>501</v>
      </c>
      <c r="M26" s="1">
        <v>75</v>
      </c>
      <c r="N26" s="1">
        <v>12</v>
      </c>
      <c r="O26" s="1">
        <f>L26-M26-N26</f>
        <v>414</v>
      </c>
      <c r="T26" t="s">
        <v>5</v>
      </c>
      <c r="U26">
        <f>Table9[[#This Row],[TOTAL]]</f>
        <v>501</v>
      </c>
      <c r="Z26" t="s">
        <v>5</v>
      </c>
      <c r="AA26">
        <f>Table9[[#This Row],[This month]]</f>
        <v>75</v>
      </c>
      <c r="AF26" t="s">
        <v>5</v>
      </c>
      <c r="AG26">
        <f>Table9[[#This Row],[Next mth 1-7]]</f>
        <v>12</v>
      </c>
      <c r="AL26" t="s">
        <v>5</v>
      </c>
      <c r="AM26">
        <f>Table9[[#This Row],[NO]]</f>
        <v>414</v>
      </c>
      <c r="AQ26" t="s">
        <v>8</v>
      </c>
      <c r="AR26">
        <f>SUM(L52:L54)</f>
        <v>309</v>
      </c>
      <c r="AS26">
        <f>Table97[[#This Row],[TOTAL]]</f>
        <v>170</v>
      </c>
      <c r="AX26" t="s">
        <v>5</v>
      </c>
      <c r="AY26">
        <f>Table9[[#This Row],[This month]]+Table93[[#This Row],[Next month 1-7]]</f>
        <v>87</v>
      </c>
      <c r="BC26" t="s">
        <v>8</v>
      </c>
      <c r="BD26" s="15">
        <f>AY52</f>
        <v>0</v>
      </c>
      <c r="BE26" s="15">
        <f>AY53</f>
        <v>79</v>
      </c>
      <c r="BF26" s="15">
        <f>AY54</f>
        <v>91</v>
      </c>
      <c r="BG26">
        <f>SUM(Table97[[#This Row],[CB iOS]:[Google]])</f>
        <v>170</v>
      </c>
      <c r="BK26" t="s">
        <v>8</v>
      </c>
      <c r="BL26">
        <f>Table97[[#This Row],[TOTAL]]</f>
        <v>170</v>
      </c>
    </row>
    <row r="27" spans="3:64" x14ac:dyDescent="0.3">
      <c r="D27" t="s">
        <v>0</v>
      </c>
      <c r="E27" s="5">
        <f>Table9[[#This Row],[This month]]/Table9[[#This Row],[TOTAL]]*100</f>
        <v>94.117647058823522</v>
      </c>
      <c r="F27" s="5"/>
      <c r="G27" s="5">
        <f>Table9[[#This Row],[NO]]/Table9[[#This Row],[TOTAL]]*100</f>
        <v>5.8823529411764701</v>
      </c>
      <c r="K27" t="s">
        <v>0</v>
      </c>
      <c r="L27" s="9">
        <v>153</v>
      </c>
      <c r="M27" s="9">
        <v>144</v>
      </c>
      <c r="N27" s="9"/>
      <c r="O27" s="9">
        <f>L27-M27-N27</f>
        <v>9</v>
      </c>
      <c r="T27" t="s">
        <v>0</v>
      </c>
      <c r="U27">
        <f>Table9[[#This Row],[TOTAL]]</f>
        <v>153</v>
      </c>
      <c r="Z27" t="s">
        <v>0</v>
      </c>
      <c r="AA27">
        <f>Table9[[#This Row],[This month]]</f>
        <v>144</v>
      </c>
      <c r="AF27" t="s">
        <v>0</v>
      </c>
      <c r="AL27" t="s">
        <v>0</v>
      </c>
      <c r="AM27">
        <f>Table9[[#This Row],[NO]]</f>
        <v>9</v>
      </c>
      <c r="AX27" t="s">
        <v>0</v>
      </c>
      <c r="AY27">
        <f>Table9[[#This Row],[This month]]+Table93[[#This Row],[Next month 1-7]]</f>
        <v>144</v>
      </c>
    </row>
    <row r="28" spans="3:64" x14ac:dyDescent="0.3">
      <c r="C28" t="s">
        <v>11</v>
      </c>
      <c r="D28" t="s">
        <v>4</v>
      </c>
      <c r="E28" s="5"/>
      <c r="F28" s="5"/>
      <c r="G28" s="5"/>
      <c r="J28" t="s">
        <v>11</v>
      </c>
      <c r="K28" t="s">
        <v>4</v>
      </c>
      <c r="L28" s="2"/>
      <c r="M28" s="2"/>
      <c r="N28" s="2"/>
      <c r="O28" s="2"/>
      <c r="S28" t="s">
        <v>11</v>
      </c>
      <c r="T28" t="s">
        <v>4</v>
      </c>
      <c r="Y28" t="s">
        <v>11</v>
      </c>
      <c r="Z28" t="s">
        <v>4</v>
      </c>
      <c r="AE28" t="s">
        <v>11</v>
      </c>
      <c r="AF28" t="s">
        <v>4</v>
      </c>
      <c r="AK28" t="s">
        <v>11</v>
      </c>
      <c r="AL28" t="s">
        <v>4</v>
      </c>
      <c r="AW28" t="s">
        <v>11</v>
      </c>
      <c r="AX28" t="s">
        <v>4</v>
      </c>
    </row>
    <row r="29" spans="3:64" x14ac:dyDescent="0.3">
      <c r="D29" t="s">
        <v>5</v>
      </c>
      <c r="E29" s="5">
        <f>Table9[[#This Row],[This month]]/Table9[[#This Row],[TOTAL]]*100</f>
        <v>12.776831345826235</v>
      </c>
      <c r="F29" s="5">
        <f>Table9[[#This Row],[Next mth 1-7]]/Table9[[#This Row],[TOTAL]]*100</f>
        <v>3.0664395229982966</v>
      </c>
      <c r="G29" s="5">
        <f>Table9[[#This Row],[NO]]/Table9[[#This Row],[TOTAL]]*100</f>
        <v>84.156729131175467</v>
      </c>
      <c r="K29" t="s">
        <v>5</v>
      </c>
      <c r="L29" s="1">
        <v>587</v>
      </c>
      <c r="M29" s="1">
        <v>75</v>
      </c>
      <c r="N29" s="1">
        <v>18</v>
      </c>
      <c r="O29" s="1">
        <f>L29-M29-N29</f>
        <v>494</v>
      </c>
      <c r="T29" t="s">
        <v>5</v>
      </c>
      <c r="U29">
        <f>Table9[[#This Row],[TOTAL]]</f>
        <v>587</v>
      </c>
      <c r="Z29" t="s">
        <v>5</v>
      </c>
      <c r="AA29">
        <f>Table9[[#This Row],[This month]]</f>
        <v>75</v>
      </c>
      <c r="AF29" t="s">
        <v>5</v>
      </c>
      <c r="AG29">
        <f>Table9[[#This Row],[Next mth 1-7]]</f>
        <v>18</v>
      </c>
      <c r="AL29" t="s">
        <v>5</v>
      </c>
      <c r="AM29">
        <f>Table9[[#This Row],[NO]]</f>
        <v>494</v>
      </c>
      <c r="AX29" t="s">
        <v>5</v>
      </c>
      <c r="AY29">
        <f>Table9[[#This Row],[This month]]+Table93[[#This Row],[Next month 1-7]]</f>
        <v>93</v>
      </c>
    </row>
    <row r="30" spans="3:64" x14ac:dyDescent="0.3">
      <c r="D30" t="s">
        <v>0</v>
      </c>
      <c r="E30" s="5">
        <f>Table9[[#This Row],[This month]]/Table9[[#This Row],[TOTAL]]*100</f>
        <v>94.329896907216494</v>
      </c>
      <c r="F30" s="5"/>
      <c r="G30" s="5">
        <f>Table9[[#This Row],[NO]]/Table9[[#This Row],[TOTAL]]*100</f>
        <v>5.6701030927835054</v>
      </c>
      <c r="K30" t="s">
        <v>0</v>
      </c>
      <c r="L30" s="9">
        <v>194</v>
      </c>
      <c r="M30" s="9">
        <v>183</v>
      </c>
      <c r="N30" s="9"/>
      <c r="O30" s="9">
        <f>L30-M30-N30</f>
        <v>11</v>
      </c>
      <c r="T30" t="s">
        <v>0</v>
      </c>
      <c r="U30">
        <f>Table9[[#This Row],[TOTAL]]</f>
        <v>194</v>
      </c>
      <c r="Z30" t="s">
        <v>0</v>
      </c>
      <c r="AA30">
        <f>Table9[[#This Row],[This month]]</f>
        <v>183</v>
      </c>
      <c r="AF30" t="s">
        <v>0</v>
      </c>
      <c r="AL30" t="s">
        <v>0</v>
      </c>
      <c r="AM30">
        <f>Table9[[#This Row],[NO]]</f>
        <v>11</v>
      </c>
      <c r="AX30" t="s">
        <v>0</v>
      </c>
      <c r="AY30">
        <f>Table9[[#This Row],[This month]]+Table93[[#This Row],[Next month 1-7]]</f>
        <v>183</v>
      </c>
    </row>
    <row r="31" spans="3:64" x14ac:dyDescent="0.3">
      <c r="C31" t="s">
        <v>6</v>
      </c>
      <c r="D31" t="s">
        <v>4</v>
      </c>
      <c r="E31" s="5"/>
      <c r="F31" s="5"/>
      <c r="G31" s="5"/>
      <c r="J31" t="s">
        <v>6</v>
      </c>
      <c r="K31" t="s">
        <v>4</v>
      </c>
      <c r="S31" t="s">
        <v>6</v>
      </c>
      <c r="T31" t="s">
        <v>4</v>
      </c>
      <c r="Y31" t="s">
        <v>6</v>
      </c>
      <c r="Z31" t="s">
        <v>4</v>
      </c>
      <c r="AE31" t="s">
        <v>6</v>
      </c>
      <c r="AF31" t="s">
        <v>4</v>
      </c>
      <c r="AK31" t="s">
        <v>6</v>
      </c>
      <c r="AL31" t="s">
        <v>4</v>
      </c>
      <c r="AW31" t="s">
        <v>6</v>
      </c>
      <c r="AX31" t="s">
        <v>4</v>
      </c>
    </row>
    <row r="32" spans="3:64" x14ac:dyDescent="0.3">
      <c r="D32" t="s">
        <v>5</v>
      </c>
      <c r="E32" s="5">
        <f>Table9[[#This Row],[This month]]/Table9[[#This Row],[TOTAL]]*100</f>
        <v>10.685483870967742</v>
      </c>
      <c r="F32" s="5">
        <f>Table9[[#This Row],[Next mth 1-7]]/Table9[[#This Row],[TOTAL]]*100</f>
        <v>4.435483870967742</v>
      </c>
      <c r="G32" s="5">
        <f>Table9[[#This Row],[NO]]/Table9[[#This Row],[TOTAL]]*100</f>
        <v>84.879032258064512</v>
      </c>
      <c r="K32" t="s">
        <v>5</v>
      </c>
      <c r="L32">
        <v>496</v>
      </c>
      <c r="M32">
        <v>53</v>
      </c>
      <c r="N32">
        <v>22</v>
      </c>
      <c r="O32">
        <f>L32-M32-N32</f>
        <v>421</v>
      </c>
      <c r="T32" t="s">
        <v>5</v>
      </c>
      <c r="U32">
        <f>Table9[[#This Row],[TOTAL]]</f>
        <v>496</v>
      </c>
      <c r="Z32" t="s">
        <v>5</v>
      </c>
      <c r="AA32">
        <f>Table9[[#This Row],[This month]]</f>
        <v>53</v>
      </c>
      <c r="AF32" t="s">
        <v>5</v>
      </c>
      <c r="AG32">
        <f>Table9[[#This Row],[Next mth 1-7]]</f>
        <v>22</v>
      </c>
      <c r="AL32" t="s">
        <v>5</v>
      </c>
      <c r="AM32">
        <f>Table9[[#This Row],[NO]]</f>
        <v>421</v>
      </c>
      <c r="AX32" t="s">
        <v>5</v>
      </c>
      <c r="AY32">
        <f>Table9[[#This Row],[This month]]+Table93[[#This Row],[Next month 1-7]]</f>
        <v>75</v>
      </c>
    </row>
    <row r="33" spans="3:51" x14ac:dyDescent="0.3">
      <c r="D33" t="s">
        <v>0</v>
      </c>
      <c r="E33" s="5">
        <f>Table9[[#This Row],[This month]]/Table9[[#This Row],[TOTAL]]*100</f>
        <v>95.977011494252878</v>
      </c>
      <c r="F33" s="5"/>
      <c r="G33" s="5">
        <f>Table9[[#This Row],[NO]]/Table9[[#This Row],[TOTAL]]*100</f>
        <v>4.0229885057471266</v>
      </c>
      <c r="K33" t="s">
        <v>0</v>
      </c>
      <c r="L33" s="3">
        <v>174</v>
      </c>
      <c r="M33" s="3">
        <v>167</v>
      </c>
      <c r="N33" s="3"/>
      <c r="O33" s="3">
        <f>L33-M33-N33</f>
        <v>7</v>
      </c>
      <c r="T33" t="s">
        <v>0</v>
      </c>
      <c r="U33">
        <f>Table9[[#This Row],[TOTAL]]</f>
        <v>174</v>
      </c>
      <c r="Z33" t="s">
        <v>0</v>
      </c>
      <c r="AA33">
        <f>Table9[[#This Row],[This month]]</f>
        <v>167</v>
      </c>
      <c r="AF33" t="s">
        <v>0</v>
      </c>
      <c r="AL33" t="s">
        <v>0</v>
      </c>
      <c r="AM33">
        <f>Table9[[#This Row],[NO]]</f>
        <v>7</v>
      </c>
      <c r="AX33" t="s">
        <v>0</v>
      </c>
      <c r="AY33">
        <f>Table9[[#This Row],[This month]]+Table93[[#This Row],[Next month 1-7]]</f>
        <v>167</v>
      </c>
    </row>
    <row r="34" spans="3:51" x14ac:dyDescent="0.3">
      <c r="C34" t="s">
        <v>27</v>
      </c>
      <c r="D34" t="s">
        <v>4</v>
      </c>
      <c r="E34" s="5"/>
      <c r="F34" s="5"/>
      <c r="G34" s="5"/>
      <c r="J34" t="s">
        <v>27</v>
      </c>
      <c r="K34" t="s">
        <v>4</v>
      </c>
      <c r="S34" t="s">
        <v>27</v>
      </c>
      <c r="T34" t="s">
        <v>4</v>
      </c>
      <c r="Y34" t="s">
        <v>27</v>
      </c>
      <c r="Z34" t="s">
        <v>4</v>
      </c>
      <c r="AE34" t="s">
        <v>27</v>
      </c>
      <c r="AF34" t="s">
        <v>4</v>
      </c>
      <c r="AK34" t="s">
        <v>27</v>
      </c>
      <c r="AL34" t="s">
        <v>4</v>
      </c>
      <c r="AW34" t="s">
        <v>27</v>
      </c>
      <c r="AX34" t="s">
        <v>4</v>
      </c>
    </row>
    <row r="35" spans="3:51" x14ac:dyDescent="0.3">
      <c r="D35" t="s">
        <v>5</v>
      </c>
      <c r="E35" s="5">
        <f>Table9[[#This Row],[This month]]/Table9[[#This Row],[TOTAL]]*100</f>
        <v>17.287234042553195</v>
      </c>
      <c r="F35" s="5">
        <f>Table9[[#This Row],[Next mth 1-7]]/Table9[[#This Row],[TOTAL]]*100</f>
        <v>3.4574468085106385</v>
      </c>
      <c r="G35" s="5">
        <f>Table9[[#This Row],[NO]]/Table9[[#This Row],[TOTAL]]*100</f>
        <v>79.255319148936167</v>
      </c>
      <c r="K35" t="s">
        <v>5</v>
      </c>
      <c r="L35">
        <v>376</v>
      </c>
      <c r="M35">
        <v>65</v>
      </c>
      <c r="N35">
        <v>13</v>
      </c>
      <c r="O35">
        <f t="shared" ref="O35:O40" si="0">L35-M35-N35</f>
        <v>298</v>
      </c>
      <c r="T35" t="s">
        <v>5</v>
      </c>
      <c r="U35">
        <f>Table9[[#This Row],[TOTAL]]</f>
        <v>376</v>
      </c>
      <c r="Z35" t="s">
        <v>5</v>
      </c>
      <c r="AA35">
        <f>Table9[[#This Row],[This month]]</f>
        <v>65</v>
      </c>
      <c r="AF35" t="s">
        <v>5</v>
      </c>
      <c r="AG35">
        <f>Table9[[#This Row],[Next mth 1-7]]</f>
        <v>13</v>
      </c>
      <c r="AL35" t="s">
        <v>5</v>
      </c>
      <c r="AM35">
        <f>Table9[[#This Row],[NO]]</f>
        <v>298</v>
      </c>
      <c r="AX35" t="s">
        <v>5</v>
      </c>
      <c r="AY35">
        <f>Table9[[#This Row],[This month]]+Table93[[#This Row],[Next month 1-7]]</f>
        <v>78</v>
      </c>
    </row>
    <row r="36" spans="3:51" x14ac:dyDescent="0.3">
      <c r="D36" t="s">
        <v>0</v>
      </c>
      <c r="E36" s="5">
        <f>Table9[[#This Row],[This month]]/Table9[[#This Row],[TOTAL]]*100</f>
        <v>87.058823529411768</v>
      </c>
      <c r="F36" s="5"/>
      <c r="G36" s="5">
        <f>Table9[[#This Row],[NO]]/Table9[[#This Row],[TOTAL]]*100</f>
        <v>12.941176470588237</v>
      </c>
      <c r="K36" t="s">
        <v>0</v>
      </c>
      <c r="L36" s="3">
        <v>85</v>
      </c>
      <c r="M36" s="3">
        <v>74</v>
      </c>
      <c r="N36" s="3"/>
      <c r="O36" s="3">
        <f t="shared" si="0"/>
        <v>11</v>
      </c>
      <c r="T36" t="s">
        <v>0</v>
      </c>
      <c r="U36">
        <f>Table9[[#This Row],[TOTAL]]</f>
        <v>85</v>
      </c>
      <c r="Z36" t="s">
        <v>0</v>
      </c>
      <c r="AA36">
        <f>Table9[[#This Row],[This month]]</f>
        <v>74</v>
      </c>
      <c r="AF36" t="s">
        <v>0</v>
      </c>
      <c r="AL36" t="s">
        <v>0</v>
      </c>
      <c r="AM36">
        <f>Table9[[#This Row],[NO]]</f>
        <v>11</v>
      </c>
      <c r="AX36" t="s">
        <v>0</v>
      </c>
      <c r="AY36">
        <f>Table9[[#This Row],[This month]]+Table93[[#This Row],[Next month 1-7]]</f>
        <v>74</v>
      </c>
    </row>
    <row r="37" spans="3:51" x14ac:dyDescent="0.3">
      <c r="C37" t="s">
        <v>28</v>
      </c>
      <c r="D37" t="s">
        <v>4</v>
      </c>
      <c r="E37" s="5"/>
      <c r="F37" s="5"/>
      <c r="G37" s="5"/>
      <c r="J37" t="s">
        <v>28</v>
      </c>
      <c r="K37" t="s">
        <v>4</v>
      </c>
      <c r="O37">
        <f t="shared" si="0"/>
        <v>0</v>
      </c>
      <c r="S37" t="s">
        <v>28</v>
      </c>
      <c r="T37" t="s">
        <v>4</v>
      </c>
      <c r="Y37" t="s">
        <v>28</v>
      </c>
      <c r="Z37" t="s">
        <v>4</v>
      </c>
      <c r="AE37" t="s">
        <v>28</v>
      </c>
      <c r="AF37" t="s">
        <v>4</v>
      </c>
      <c r="AK37" t="s">
        <v>28</v>
      </c>
      <c r="AL37" t="s">
        <v>4</v>
      </c>
      <c r="AW37" t="s">
        <v>28</v>
      </c>
      <c r="AX37" t="s">
        <v>4</v>
      </c>
    </row>
    <row r="38" spans="3:51" x14ac:dyDescent="0.3">
      <c r="D38" t="s">
        <v>5</v>
      </c>
      <c r="E38" s="5">
        <f>Table9[[#This Row],[This month]]/Table9[[#This Row],[TOTAL]]*100</f>
        <v>22.137404580152673</v>
      </c>
      <c r="F38" s="5">
        <f>Table9[[#This Row],[Next mth 1-7]]/Table9[[#This Row],[TOTAL]]*100</f>
        <v>8.015267175572518</v>
      </c>
      <c r="G38" s="5">
        <f>Table9[[#This Row],[NO]]/Table9[[#This Row],[TOTAL]]*100</f>
        <v>69.847328244274806</v>
      </c>
      <c r="K38" t="s">
        <v>5</v>
      </c>
      <c r="L38">
        <v>262</v>
      </c>
      <c r="M38">
        <v>58</v>
      </c>
      <c r="N38">
        <v>21</v>
      </c>
      <c r="O38">
        <f t="shared" si="0"/>
        <v>183</v>
      </c>
      <c r="T38" t="s">
        <v>5</v>
      </c>
      <c r="U38">
        <f>Table9[[#This Row],[TOTAL]]</f>
        <v>262</v>
      </c>
      <c r="Z38" t="s">
        <v>5</v>
      </c>
      <c r="AA38">
        <f>Table9[[#This Row],[This month]]</f>
        <v>58</v>
      </c>
      <c r="AF38" t="s">
        <v>5</v>
      </c>
      <c r="AG38">
        <f>Table9[[#This Row],[Next mth 1-7]]</f>
        <v>21</v>
      </c>
      <c r="AL38" t="s">
        <v>5</v>
      </c>
      <c r="AM38">
        <f>Table9[[#This Row],[NO]]</f>
        <v>183</v>
      </c>
      <c r="AX38" t="s">
        <v>5</v>
      </c>
      <c r="AY38">
        <f>Table9[[#This Row],[This month]]+Table93[[#This Row],[Next month 1-7]]</f>
        <v>79</v>
      </c>
    </row>
    <row r="39" spans="3:51" x14ac:dyDescent="0.3">
      <c r="D39" t="s">
        <v>0</v>
      </c>
      <c r="E39" s="5">
        <f>Table9[[#This Row],[This month]]/Table9[[#This Row],[TOTAL]]*100</f>
        <v>96.932515337423311</v>
      </c>
      <c r="F39" s="5">
        <f>Table9[[#This Row],[Next mth 1-7]]/Table9[[#This Row],[TOTAL]]*100</f>
        <v>0</v>
      </c>
      <c r="G39" s="5">
        <f>Table9[[#This Row],[NO]]/Table9[[#This Row],[TOTAL]]*100</f>
        <v>3.0674846625766872</v>
      </c>
      <c r="K39" t="s">
        <v>0</v>
      </c>
      <c r="L39">
        <v>163</v>
      </c>
      <c r="M39">
        <v>158</v>
      </c>
      <c r="O39">
        <f t="shared" si="0"/>
        <v>5</v>
      </c>
      <c r="T39" t="s">
        <v>0</v>
      </c>
      <c r="U39">
        <f>Table9[[#This Row],[TOTAL]]</f>
        <v>163</v>
      </c>
      <c r="Z39" t="s">
        <v>0</v>
      </c>
      <c r="AA39">
        <f>Table9[[#This Row],[This month]]</f>
        <v>158</v>
      </c>
      <c r="AF39" t="s">
        <v>0</v>
      </c>
      <c r="AL39" t="s">
        <v>0</v>
      </c>
      <c r="AM39">
        <f>Table9[[#This Row],[NO]]</f>
        <v>5</v>
      </c>
      <c r="AX39" t="s">
        <v>0</v>
      </c>
      <c r="AY39">
        <f>Table9[[#This Row],[This month]]+Table93[[#This Row],[Next month 1-7]]</f>
        <v>158</v>
      </c>
    </row>
    <row r="40" spans="3:51" x14ac:dyDescent="0.3">
      <c r="C40" t="s">
        <v>29</v>
      </c>
      <c r="D40" t="s">
        <v>4</v>
      </c>
      <c r="E40" s="5"/>
      <c r="F40" s="5"/>
      <c r="G40" s="5"/>
      <c r="J40" t="s">
        <v>29</v>
      </c>
      <c r="K40" t="s">
        <v>4</v>
      </c>
      <c r="O40">
        <f t="shared" si="0"/>
        <v>0</v>
      </c>
      <c r="S40" t="s">
        <v>29</v>
      </c>
      <c r="T40" t="s">
        <v>4</v>
      </c>
      <c r="Y40" t="s">
        <v>29</v>
      </c>
      <c r="Z40" t="s">
        <v>4</v>
      </c>
      <c r="AE40" t="s">
        <v>29</v>
      </c>
      <c r="AF40" t="s">
        <v>4</v>
      </c>
      <c r="AK40" t="s">
        <v>29</v>
      </c>
      <c r="AL40" t="s">
        <v>4</v>
      </c>
      <c r="AW40" t="s">
        <v>29</v>
      </c>
      <c r="AX40" t="s">
        <v>4</v>
      </c>
    </row>
    <row r="41" spans="3:51" x14ac:dyDescent="0.3">
      <c r="D41" t="s">
        <v>5</v>
      </c>
      <c r="E41" s="5">
        <f>Table9[[#This Row],[This month]]/Table9[[#This Row],[TOTAL]]*100</f>
        <v>28.30188679245283</v>
      </c>
      <c r="F41" s="5">
        <f>Table9[[#This Row],[Next mth 1-7]]/Table9[[#This Row],[TOTAL]]*100</f>
        <v>9.8113207547169825</v>
      </c>
      <c r="G41" s="5">
        <f>Table9[[#This Row],[NO]]/Table9[[#This Row],[TOTAL]]*100</f>
        <v>61.886792452830186</v>
      </c>
      <c r="K41" t="s">
        <v>5</v>
      </c>
      <c r="L41">
        <v>265</v>
      </c>
      <c r="M41">
        <v>75</v>
      </c>
      <c r="N41">
        <v>26</v>
      </c>
      <c r="O41">
        <v>164</v>
      </c>
      <c r="T41" t="s">
        <v>5</v>
      </c>
      <c r="U41">
        <f>Table9[[#This Row],[TOTAL]]</f>
        <v>265</v>
      </c>
      <c r="Z41" t="s">
        <v>5</v>
      </c>
      <c r="AA41">
        <f>Table9[[#This Row],[This month]]</f>
        <v>75</v>
      </c>
      <c r="AF41" t="s">
        <v>5</v>
      </c>
      <c r="AG41">
        <f>Table9[[#This Row],[Next mth 1-7]]</f>
        <v>26</v>
      </c>
      <c r="AL41" t="s">
        <v>5</v>
      </c>
      <c r="AM41">
        <f>Table9[[#This Row],[NO]]</f>
        <v>164</v>
      </c>
      <c r="AX41" t="s">
        <v>5</v>
      </c>
      <c r="AY41">
        <f>Table9[[#This Row],[This month]]+Table93[[#This Row],[Next month 1-7]]</f>
        <v>101</v>
      </c>
    </row>
    <row r="42" spans="3:51" x14ac:dyDescent="0.3">
      <c r="D42" t="s">
        <v>0</v>
      </c>
      <c r="E42" s="5">
        <f>Table9[[#This Row],[This month]]/Table9[[#This Row],[TOTAL]]*100</f>
        <v>91.34615384615384</v>
      </c>
      <c r="F42" s="5">
        <f>Table9[[#This Row],[Next mth 1-7]]/Table9[[#This Row],[TOTAL]]*100</f>
        <v>0</v>
      </c>
      <c r="G42" s="5">
        <f>Table9[[#This Row],[NO]]/Table9[[#This Row],[TOTAL]]*100</f>
        <v>8.6538461538461533</v>
      </c>
      <c r="K42" t="s">
        <v>0</v>
      </c>
      <c r="L42">
        <f>Table9[[#This Row],[This month]]+Table9[[#This Row],[NO]]</f>
        <v>104</v>
      </c>
      <c r="M42">
        <v>95</v>
      </c>
      <c r="O42">
        <v>9</v>
      </c>
      <c r="T42" t="s">
        <v>0</v>
      </c>
      <c r="U42">
        <f>Table9[[#This Row],[TOTAL]]</f>
        <v>104</v>
      </c>
      <c r="Z42" t="s">
        <v>0</v>
      </c>
      <c r="AA42">
        <f>Table9[[#This Row],[This month]]</f>
        <v>95</v>
      </c>
      <c r="AF42" t="s">
        <v>0</v>
      </c>
      <c r="AL42" t="s">
        <v>0</v>
      </c>
      <c r="AM42">
        <f>Table9[[#This Row],[NO]]</f>
        <v>9</v>
      </c>
      <c r="AX42" t="s">
        <v>0</v>
      </c>
      <c r="AY42">
        <f>Table9[[#This Row],[This month]]+Table93[[#This Row],[Next month 1-7]]</f>
        <v>95</v>
      </c>
    </row>
    <row r="43" spans="3:51" x14ac:dyDescent="0.3">
      <c r="C43" t="s">
        <v>30</v>
      </c>
      <c r="D43" t="s">
        <v>4</v>
      </c>
      <c r="E43" s="5"/>
      <c r="F43" s="5"/>
      <c r="G43" s="5"/>
      <c r="J43" t="s">
        <v>30</v>
      </c>
      <c r="K43" t="s">
        <v>4</v>
      </c>
      <c r="O43">
        <f>L43-M43-N43</f>
        <v>0</v>
      </c>
      <c r="S43" t="s">
        <v>30</v>
      </c>
      <c r="T43" t="s">
        <v>4</v>
      </c>
      <c r="Y43" t="s">
        <v>30</v>
      </c>
      <c r="Z43" t="s">
        <v>4</v>
      </c>
      <c r="AE43" t="s">
        <v>30</v>
      </c>
      <c r="AF43" t="s">
        <v>4</v>
      </c>
      <c r="AK43" t="s">
        <v>30</v>
      </c>
      <c r="AL43" t="s">
        <v>4</v>
      </c>
      <c r="AW43" t="s">
        <v>30</v>
      </c>
      <c r="AX43" t="s">
        <v>4</v>
      </c>
    </row>
    <row r="44" spans="3:51" x14ac:dyDescent="0.3">
      <c r="D44" t="s">
        <v>5</v>
      </c>
      <c r="E44" s="5">
        <f>Table9[[#This Row],[This month]]/Table9[[#This Row],[TOTAL]]*100</f>
        <v>22.685185185185187</v>
      </c>
      <c r="F44" s="5">
        <f>Table9[[#This Row],[Next mth 1-7]]/Table9[[#This Row],[TOTAL]]*100</f>
        <v>6.9444444444444446</v>
      </c>
      <c r="G44" s="5">
        <f>Table9[[#This Row],[NO]]/Table9[[#This Row],[TOTAL]]*100</f>
        <v>70.370370370370367</v>
      </c>
      <c r="K44" t="s">
        <v>5</v>
      </c>
      <c r="L44">
        <v>216</v>
      </c>
      <c r="M44">
        <v>49</v>
      </c>
      <c r="N44">
        <v>15</v>
      </c>
      <c r="O44">
        <v>152</v>
      </c>
      <c r="T44" t="s">
        <v>5</v>
      </c>
      <c r="U44">
        <f>Table9[[#This Row],[TOTAL]]</f>
        <v>216</v>
      </c>
      <c r="Z44" t="s">
        <v>5</v>
      </c>
      <c r="AA44">
        <f>Table9[[#This Row],[This month]]</f>
        <v>49</v>
      </c>
      <c r="AF44" t="s">
        <v>5</v>
      </c>
      <c r="AG44">
        <f>Table9[[#This Row],[Next mth 1-7]]</f>
        <v>15</v>
      </c>
      <c r="AL44" t="s">
        <v>5</v>
      </c>
      <c r="AM44">
        <f>Table9[[#This Row],[NO]]</f>
        <v>152</v>
      </c>
      <c r="AX44" t="s">
        <v>5</v>
      </c>
      <c r="AY44">
        <f>Table9[[#This Row],[This month]]+Table93[[#This Row],[Next month 1-7]]</f>
        <v>64</v>
      </c>
    </row>
    <row r="45" spans="3:51" x14ac:dyDescent="0.3">
      <c r="D45" t="s">
        <v>0</v>
      </c>
      <c r="E45" s="5">
        <f>Table9[[#This Row],[This month]]/Table9[[#This Row],[TOTAL]]*100</f>
        <v>87.179487179487182</v>
      </c>
      <c r="F45" s="5">
        <f>Table9[[#This Row],[Next mth 1-7]]/Table9[[#This Row],[TOTAL]]*100</f>
        <v>0</v>
      </c>
      <c r="G45" s="5">
        <f>Table9[[#This Row],[NO]]/Table9[[#This Row],[TOTAL]]*100</f>
        <v>12.820512820512819</v>
      </c>
      <c r="K45" t="s">
        <v>0</v>
      </c>
      <c r="L45">
        <v>117</v>
      </c>
      <c r="M45">
        <v>102</v>
      </c>
      <c r="O45">
        <v>15</v>
      </c>
      <c r="T45" t="s">
        <v>0</v>
      </c>
      <c r="U45">
        <f>Table9[[#This Row],[TOTAL]]</f>
        <v>117</v>
      </c>
      <c r="Z45" t="s">
        <v>0</v>
      </c>
      <c r="AA45">
        <f>Table9[[#This Row],[This month]]</f>
        <v>102</v>
      </c>
      <c r="AF45" t="s">
        <v>0</v>
      </c>
      <c r="AL45" t="s">
        <v>0</v>
      </c>
      <c r="AM45">
        <v>15</v>
      </c>
      <c r="AX45" t="s">
        <v>0</v>
      </c>
      <c r="AY45">
        <f>Table9[[#This Row],[This month]]+Table93[[#This Row],[Next month 1-7]]</f>
        <v>102</v>
      </c>
    </row>
    <row r="46" spans="3:51" x14ac:dyDescent="0.3">
      <c r="C46" t="s">
        <v>32</v>
      </c>
      <c r="D46" t="s">
        <v>4</v>
      </c>
      <c r="E46" s="5"/>
      <c r="F46" s="5"/>
      <c r="G46" s="5"/>
      <c r="J46" t="s">
        <v>32</v>
      </c>
      <c r="K46" t="s">
        <v>4</v>
      </c>
      <c r="O46">
        <f>L46-M46-N46</f>
        <v>0</v>
      </c>
      <c r="S46" t="s">
        <v>32</v>
      </c>
      <c r="T46" t="s">
        <v>4</v>
      </c>
      <c r="Y46" t="s">
        <v>32</v>
      </c>
      <c r="Z46" t="s">
        <v>4</v>
      </c>
      <c r="AE46" t="s">
        <v>32</v>
      </c>
      <c r="AF46" t="s">
        <v>4</v>
      </c>
      <c r="AK46" t="s">
        <v>32</v>
      </c>
      <c r="AL46" t="s">
        <v>4</v>
      </c>
      <c r="AW46" t="s">
        <v>32</v>
      </c>
      <c r="AX46" t="s">
        <v>4</v>
      </c>
    </row>
    <row r="47" spans="3:51" x14ac:dyDescent="0.3">
      <c r="D47" t="s">
        <v>5</v>
      </c>
      <c r="E47" s="5">
        <f>Table9[[#This Row],[This month]]/Table9[[#This Row],[TOTAL]]*100</f>
        <v>26.244343891402718</v>
      </c>
      <c r="F47" s="5">
        <f>Table9[[#This Row],[Next mth 1-7]]/Table9[[#This Row],[TOTAL]]*100</f>
        <v>8.5972850678733028</v>
      </c>
      <c r="G47" s="5">
        <f>Table9[[#This Row],[NO]]/Table9[[#This Row],[TOTAL]]*100</f>
        <v>65.158371040723978</v>
      </c>
      <c r="K47" t="s">
        <v>5</v>
      </c>
      <c r="L47">
        <v>221</v>
      </c>
      <c r="M47">
        <v>58</v>
      </c>
      <c r="N47">
        <v>19</v>
      </c>
      <c r="O47">
        <v>144</v>
      </c>
      <c r="T47" t="s">
        <v>5</v>
      </c>
      <c r="U47">
        <f>Table9[[#This Row],[TOTAL]]</f>
        <v>221</v>
      </c>
      <c r="Z47" t="s">
        <v>5</v>
      </c>
      <c r="AA47">
        <f>Table9[[#This Row],[This month]]</f>
        <v>58</v>
      </c>
      <c r="AF47" t="s">
        <v>5</v>
      </c>
      <c r="AG47">
        <f>Table9[[#This Row],[Next mth 1-7]]</f>
        <v>19</v>
      </c>
      <c r="AL47" t="s">
        <v>5</v>
      </c>
      <c r="AM47">
        <f>Table9[[#This Row],[NO]]</f>
        <v>144</v>
      </c>
      <c r="AX47" t="s">
        <v>5</v>
      </c>
      <c r="AY47">
        <f>Table9[[#This Row],[This month]]+Table93[[#This Row],[Next month 1-7]]</f>
        <v>77</v>
      </c>
    </row>
    <row r="48" spans="3:51" x14ac:dyDescent="0.3">
      <c r="D48" t="s">
        <v>0</v>
      </c>
      <c r="E48" s="5">
        <f>Table9[[#This Row],[This month]]/Table9[[#This Row],[TOTAL]]*100</f>
        <v>95.412844036697251</v>
      </c>
      <c r="F48" s="5">
        <f>Table9[[#This Row],[Next mth 1-7]]/Table9[[#This Row],[TOTAL]]*100</f>
        <v>0</v>
      </c>
      <c r="G48" s="5">
        <f>Table9[[#This Row],[NO]]/Table9[[#This Row],[TOTAL]]*100</f>
        <v>4.5871559633027523</v>
      </c>
      <c r="K48" t="s">
        <v>0</v>
      </c>
      <c r="L48">
        <v>109</v>
      </c>
      <c r="M48">
        <v>104</v>
      </c>
      <c r="O48">
        <v>5</v>
      </c>
      <c r="T48" t="s">
        <v>0</v>
      </c>
      <c r="U48">
        <f>Table9[[#This Row],[TOTAL]]</f>
        <v>109</v>
      </c>
      <c r="Z48" t="s">
        <v>0</v>
      </c>
      <c r="AA48">
        <f>Table9[[#This Row],[This month]]</f>
        <v>104</v>
      </c>
      <c r="AF48" t="s">
        <v>0</v>
      </c>
      <c r="AL48" t="s">
        <v>0</v>
      </c>
      <c r="AM48">
        <v>5</v>
      </c>
      <c r="AX48" t="s">
        <v>0</v>
      </c>
      <c r="AY48">
        <f>Table9[[#This Row],[This month]]+Table93[[#This Row],[Next month 1-7]]</f>
        <v>104</v>
      </c>
    </row>
    <row r="49" spans="2:52" x14ac:dyDescent="0.3">
      <c r="B49">
        <v>2026</v>
      </c>
      <c r="C49" t="s">
        <v>7</v>
      </c>
      <c r="D49" t="s">
        <v>4</v>
      </c>
      <c r="E49" s="5"/>
      <c r="F49" s="5"/>
      <c r="G49" s="5"/>
      <c r="I49">
        <v>2026</v>
      </c>
      <c r="J49" t="s">
        <v>7</v>
      </c>
      <c r="K49" t="s">
        <v>4</v>
      </c>
      <c r="O49">
        <f>L49-M49-N49</f>
        <v>0</v>
      </c>
      <c r="R49">
        <v>2026</v>
      </c>
      <c r="S49" t="s">
        <v>7</v>
      </c>
      <c r="T49" t="s">
        <v>4</v>
      </c>
      <c r="X49">
        <v>2026</v>
      </c>
      <c r="Y49" t="s">
        <v>7</v>
      </c>
      <c r="Z49" t="s">
        <v>4</v>
      </c>
      <c r="AD49">
        <v>2026</v>
      </c>
      <c r="AE49" t="s">
        <v>7</v>
      </c>
      <c r="AF49" t="s">
        <v>4</v>
      </c>
      <c r="AJ49">
        <v>2026</v>
      </c>
      <c r="AK49" t="s">
        <v>7</v>
      </c>
      <c r="AL49" t="s">
        <v>4</v>
      </c>
      <c r="AV49">
        <v>2026</v>
      </c>
      <c r="AW49" t="s">
        <v>7</v>
      </c>
      <c r="AX49" t="s">
        <v>4</v>
      </c>
    </row>
    <row r="50" spans="2:52" x14ac:dyDescent="0.3">
      <c r="D50" t="s">
        <v>5</v>
      </c>
      <c r="E50" s="5">
        <f>Table9[[#This Row],[This month]]/Table9[[#This Row],[TOTAL]]*100</f>
        <v>24.890829694323145</v>
      </c>
      <c r="F50" s="5">
        <f>Table9[[#This Row],[Next mth 1-7]]/Table9[[#This Row],[TOTAL]]*100</f>
        <v>12.22707423580786</v>
      </c>
      <c r="G50" s="5">
        <f>Table9[[#This Row],[NO]]/Table9[[#This Row],[TOTAL]]*100</f>
        <v>62.882096069869</v>
      </c>
      <c r="K50" t="s">
        <v>5</v>
      </c>
      <c r="L50">
        <v>229</v>
      </c>
      <c r="M50">
        <v>57</v>
      </c>
      <c r="N50">
        <v>28</v>
      </c>
      <c r="O50">
        <v>144</v>
      </c>
      <c r="T50" t="s">
        <v>5</v>
      </c>
      <c r="U50">
        <f>Table9[[#This Row],[TOTAL]]</f>
        <v>229</v>
      </c>
      <c r="Z50" t="s">
        <v>5</v>
      </c>
      <c r="AA50">
        <f>Table9[[#This Row],[This month]]</f>
        <v>57</v>
      </c>
      <c r="AF50" t="s">
        <v>5</v>
      </c>
      <c r="AG50">
        <f>Table9[[#This Row],[Next mth 1-7]]</f>
        <v>28</v>
      </c>
      <c r="AL50" t="s">
        <v>5</v>
      </c>
      <c r="AM50">
        <f>Table9[[#This Row],[NO]]</f>
        <v>144</v>
      </c>
      <c r="AX50" t="s">
        <v>5</v>
      </c>
      <c r="AY50">
        <f>Table9[[#This Row],[This month]]+Table93[[#This Row],[Next month 1-7]]</f>
        <v>85</v>
      </c>
    </row>
    <row r="51" spans="2:52" x14ac:dyDescent="0.3">
      <c r="D51" t="s">
        <v>0</v>
      </c>
      <c r="E51" s="5">
        <f>Table9[[#This Row],[This month]]/Table9[[#This Row],[TOTAL]]*100</f>
        <v>91.40625</v>
      </c>
      <c r="F51" s="5">
        <f>Table9[[#This Row],[Next mth 1-7]]/Table9[[#This Row],[TOTAL]]*100</f>
        <v>0</v>
      </c>
      <c r="G51" s="5">
        <f>Table9[[#This Row],[NO]]/Table9[[#This Row],[TOTAL]]*100</f>
        <v>8.59375</v>
      </c>
      <c r="K51" t="s">
        <v>0</v>
      </c>
      <c r="L51">
        <v>128</v>
      </c>
      <c r="M51">
        <v>117</v>
      </c>
      <c r="O51">
        <v>11</v>
      </c>
      <c r="T51" t="s">
        <v>0</v>
      </c>
      <c r="U51">
        <f>Table9[[#This Row],[TOTAL]]</f>
        <v>128</v>
      </c>
      <c r="Z51" t="s">
        <v>0</v>
      </c>
      <c r="AA51">
        <f>Table9[[#This Row],[This month]]</f>
        <v>117</v>
      </c>
      <c r="AF51" t="s">
        <v>0</v>
      </c>
      <c r="AL51" t="s">
        <v>0</v>
      </c>
      <c r="AM51">
        <f>Table9[[#This Row],[NO]]</f>
        <v>11</v>
      </c>
      <c r="AX51" t="s">
        <v>0</v>
      </c>
      <c r="AY51">
        <f>Table9[[#This Row],[This month]]+Table93[[#This Row],[Next month 1-7]]</f>
        <v>117</v>
      </c>
      <c r="AZ51" s="16"/>
    </row>
    <row r="52" spans="2:52" x14ac:dyDescent="0.3">
      <c r="C52" t="s">
        <v>8</v>
      </c>
      <c r="D52" t="s">
        <v>4</v>
      </c>
      <c r="E52" s="5"/>
      <c r="F52" s="5"/>
      <c r="G52" s="5"/>
      <c r="J52" t="s">
        <v>8</v>
      </c>
      <c r="K52" t="s">
        <v>4</v>
      </c>
      <c r="S52" t="s">
        <v>8</v>
      </c>
      <c r="T52" t="s">
        <v>4</v>
      </c>
      <c r="Y52" t="s">
        <v>8</v>
      </c>
      <c r="Z52" t="s">
        <v>4</v>
      </c>
      <c r="AE52" t="s">
        <v>8</v>
      </c>
      <c r="AF52" t="s">
        <v>4</v>
      </c>
      <c r="AK52" t="s">
        <v>8</v>
      </c>
      <c r="AL52" t="s">
        <v>4</v>
      </c>
      <c r="AW52" t="s">
        <v>8</v>
      </c>
      <c r="AX52" t="s">
        <v>4</v>
      </c>
      <c r="AZ52" s="16"/>
    </row>
    <row r="53" spans="2:52" x14ac:dyDescent="0.3">
      <c r="D53" t="s">
        <v>5</v>
      </c>
      <c r="E53" s="5">
        <f>Table9[[#This Row],[This month]]/Table9[[#This Row],[TOTAL]]*100</f>
        <v>25</v>
      </c>
      <c r="F53" s="5">
        <f>Table9[[#This Row],[Next mth 1-7]]/Table9[[#This Row],[TOTAL]]*100</f>
        <v>12.264150943396226</v>
      </c>
      <c r="G53" s="5">
        <f>Table9[[#This Row],[NO]]/Table9[[#This Row],[TOTAL]]*100</f>
        <v>62.735849056603776</v>
      </c>
      <c r="K53" t="s">
        <v>5</v>
      </c>
      <c r="L53">
        <v>212</v>
      </c>
      <c r="M53">
        <v>53</v>
      </c>
      <c r="N53">
        <v>26</v>
      </c>
      <c r="O53">
        <v>133</v>
      </c>
      <c r="T53" t="s">
        <v>5</v>
      </c>
      <c r="U53">
        <f>Table9[[#This Row],[TOTAL]]</f>
        <v>212</v>
      </c>
      <c r="Z53" t="s">
        <v>5</v>
      </c>
      <c r="AA53">
        <f>Table9[[#This Row],[This month]]</f>
        <v>53</v>
      </c>
      <c r="AF53" t="s">
        <v>5</v>
      </c>
      <c r="AG53">
        <f>Table9[[#This Row],[Next mth 1-7]]</f>
        <v>26</v>
      </c>
      <c r="AL53" t="s">
        <v>5</v>
      </c>
      <c r="AM53">
        <f>Table9[[#This Row],[NO]]</f>
        <v>133</v>
      </c>
      <c r="AX53" t="s">
        <v>5</v>
      </c>
      <c r="AY53">
        <f>Table9[[#This Row],[This month]]+Table93[[#This Row],[Next month 1-7]]</f>
        <v>79</v>
      </c>
      <c r="AZ53" s="16"/>
    </row>
    <row r="54" spans="2:52" x14ac:dyDescent="0.3">
      <c r="D54" t="s">
        <v>0</v>
      </c>
      <c r="E54" s="5">
        <f>Table9[[#This Row],[This month]]/Table9[[#This Row],[TOTAL]]*100</f>
        <v>93.814432989690715</v>
      </c>
      <c r="F54" s="5">
        <f>Table9[[#This Row],[Next mth 1-7]]/Table9[[#This Row],[TOTAL]]*100</f>
        <v>0</v>
      </c>
      <c r="G54" s="5">
        <f>Table9[[#This Row],[NO]]/Table9[[#This Row],[TOTAL]]*100</f>
        <v>6.1855670103092786</v>
      </c>
      <c r="K54" t="s">
        <v>0</v>
      </c>
      <c r="L54">
        <v>97</v>
      </c>
      <c r="M54">
        <v>91</v>
      </c>
      <c r="O54">
        <v>6</v>
      </c>
      <c r="T54" t="s">
        <v>0</v>
      </c>
      <c r="U54">
        <f>Table9[[#This Row],[TOTAL]]</f>
        <v>97</v>
      </c>
      <c r="Z54" t="s">
        <v>0</v>
      </c>
      <c r="AA54">
        <f>Table9[[#This Row],[This month]]</f>
        <v>91</v>
      </c>
      <c r="AF54" t="s">
        <v>0</v>
      </c>
      <c r="AL54" t="s">
        <v>0</v>
      </c>
      <c r="AM54">
        <f>Table9[[#This Row],[NO]]</f>
        <v>6</v>
      </c>
      <c r="AX54" t="s">
        <v>0</v>
      </c>
      <c r="AY54">
        <f>Table9[[#This Row],[This month]]+Table93[[#This Row],[Next month 1-7]]</f>
        <v>91</v>
      </c>
      <c r="AZ54" s="16"/>
    </row>
    <row r="55" spans="2:52" x14ac:dyDescent="0.3">
      <c r="AZ55" s="16"/>
    </row>
  </sheetData>
  <phoneticPr fontId="5" type="noConversion"/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Trialists Graphics</vt:lpstr>
      <vt:lpstr>TRIALISTS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Beattie</dc:creator>
  <cp:lastModifiedBy>Karen Beattie</cp:lastModifiedBy>
  <dcterms:created xsi:type="dcterms:W3CDTF">2024-08-17T04:09:30Z</dcterms:created>
  <dcterms:modified xsi:type="dcterms:W3CDTF">2026-09-20T03:44:28Z</dcterms:modified>
</cp:coreProperties>
</file>